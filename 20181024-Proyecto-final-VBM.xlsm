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_9\Documents\Proyecto VB\"/>
    </mc:Choice>
  </mc:AlternateContent>
  <xr:revisionPtr revIDLastSave="0" documentId="13_ncr:1_{E822A90D-3B6B-435E-8280-576B02501589}" xr6:coauthVersionLast="36" xr6:coauthVersionMax="36" xr10:uidLastSave="{00000000-0000-0000-0000-000000000000}"/>
  <bookViews>
    <workbookView xWindow="0" yWindow="0" windowWidth="20490" windowHeight="7530" xr2:uid="{09D18C5C-5C1F-421A-8963-8B33BDDB018A}"/>
  </bookViews>
  <sheets>
    <sheet name="Actual" sheetId="1" r:id="rId1"/>
    <sheet name="Anterior" sheetId="2" r:id="rId2"/>
  </sheets>
  <externalReferences>
    <externalReference r:id="rId3"/>
  </externalReferences>
  <definedNames>
    <definedName name="_xlnm._FilterDatabase" localSheetId="1" hidden="1">Anterior!$A$2:$AB$23</definedName>
  </definedNames>
  <calcPr calcId="17902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Z26" i="1" l="1"/>
  <c r="Z25" i="1"/>
  <c r="Z24" i="1" l="1"/>
  <c r="Z23" i="1"/>
  <c r="Z22" i="1"/>
  <c r="Z21" i="1"/>
  <c r="Z20" i="1"/>
  <c r="Z19" i="1"/>
  <c r="Z18" i="1"/>
  <c r="Z17" i="1"/>
  <c r="Z16" i="1"/>
  <c r="Z15" i="1"/>
  <c r="Z14" i="1"/>
  <c r="Z13" i="1"/>
  <c r="Z12" i="1"/>
  <c r="Z11" i="1"/>
  <c r="Z10" i="1"/>
  <c r="Z9" i="1"/>
  <c r="Z8" i="1"/>
  <c r="Z7" i="1"/>
  <c r="Z6" i="1"/>
  <c r="Z5" i="1"/>
  <c r="Z4" i="1"/>
  <c r="Z3" i="1"/>
</calcChain>
</file>

<file path=xl/sharedStrings.xml><?xml version="1.0" encoding="utf-8"?>
<sst xmlns="http://schemas.openxmlformats.org/spreadsheetml/2006/main" count="940" uniqueCount="87">
  <si>
    <t>Actual/Forecast</t>
  </si>
  <si>
    <t>Buy ID#</t>
  </si>
  <si>
    <t>Division/ Line of Business</t>
  </si>
  <si>
    <t>Division/ Line of Business Cleaned</t>
  </si>
  <si>
    <t>Brand</t>
  </si>
  <si>
    <t>Product</t>
  </si>
  <si>
    <t>Campaign</t>
  </si>
  <si>
    <t>National/ Regional/ Local</t>
  </si>
  <si>
    <t>Region or City Cleaned</t>
  </si>
  <si>
    <t>Sales House Cleaned</t>
  </si>
  <si>
    <t>Station Cleaned</t>
  </si>
  <si>
    <t>Broadcast Feed
(Broadcast/Syndication/
Cable/Open)</t>
  </si>
  <si>
    <t>Buy Type
(Upfront/Scatter or Fixed/Floating)</t>
  </si>
  <si>
    <t>Package Buy</t>
  </si>
  <si>
    <t>Cost Group</t>
  </si>
  <si>
    <t>Date
(DD/MM/YY)</t>
  </si>
  <si>
    <t>Time (HH.MM.SS)</t>
  </si>
  <si>
    <t>Duration in Seconds</t>
  </si>
  <si>
    <t>Benchmark vs.</t>
  </si>
  <si>
    <t>Include in Analysis</t>
  </si>
  <si>
    <t>Reason for Exclusion</t>
  </si>
  <si>
    <t>Reason For Exclusion (if Non Standard)</t>
  </si>
  <si>
    <t>Target 
Audience</t>
  </si>
  <si>
    <t>Target Audience Cleaned</t>
  </si>
  <si>
    <t>Broad Audience Definition</t>
  </si>
  <si>
    <t>Number of Spots</t>
  </si>
  <si>
    <t>30" Equivalent Number of Spots</t>
  </si>
  <si>
    <t>ACTUAL</t>
  </si>
  <si>
    <t>LOCAL</t>
  </si>
  <si>
    <t>MERIDA</t>
  </si>
  <si>
    <t>CABLEMAS TELECOMUNICACIONES SA DE CV</t>
  </si>
  <si>
    <t>DISCOVERY CHANNEL</t>
  </si>
  <si>
    <t>Pay Local TV</t>
  </si>
  <si>
    <t>Pay Local TV Regular Spot</t>
  </si>
  <si>
    <t>Pay Local TV Regular spot</t>
  </si>
  <si>
    <t>PRIME TIME</t>
  </si>
  <si>
    <t>17:00-24:00</t>
  </si>
  <si>
    <t>Year-on-Year</t>
  </si>
  <si>
    <t>Yes</t>
  </si>
  <si>
    <t>H 35.55 AB</t>
  </si>
  <si>
    <t>NA</t>
  </si>
  <si>
    <t>HISTORY CHANNEL</t>
  </si>
  <si>
    <t>NAT GEO</t>
  </si>
  <si>
    <t>LEON</t>
  </si>
  <si>
    <t>QUERETARO</t>
  </si>
  <si>
    <t>National</t>
  </si>
  <si>
    <t>ESPN MEXICO, S.A. DE C.V.</t>
  </si>
  <si>
    <t>ESPN 3</t>
  </si>
  <si>
    <t>Pay TV</t>
  </si>
  <si>
    <t>Pay TV Regular Spot Package</t>
  </si>
  <si>
    <t>16:00 - 26:00</t>
  </si>
  <si>
    <t>No</t>
  </si>
  <si>
    <t>Non Baseline Package Buy</t>
  </si>
  <si>
    <t>P 19-55 ABC+C</t>
  </si>
  <si>
    <t>ESPN 2</t>
  </si>
  <si>
    <t>18:00 - 26:00</t>
  </si>
  <si>
    <t>FOX INTERNATIONAL CHANNELS MEXICO S. DE R.L. DE C.V.</t>
  </si>
  <si>
    <t>FOX SPORTS 3</t>
  </si>
  <si>
    <t>Pay TV Regular Spot</t>
  </si>
  <si>
    <t>Pay Tv Regular spot</t>
  </si>
  <si>
    <t>ESPN</t>
  </si>
  <si>
    <t>22:00 - 23:00</t>
  </si>
  <si>
    <t>FOX CHANNEL</t>
  </si>
  <si>
    <t>Pay TV Mención Package</t>
  </si>
  <si>
    <t>Pay Tv Mention</t>
  </si>
  <si>
    <t>DAY TIME</t>
  </si>
  <si>
    <t>10:00 - 22:00</t>
  </si>
  <si>
    <t>FOX SPORTS</t>
  </si>
  <si>
    <t>24:00 - 25:00</t>
  </si>
  <si>
    <t>16:00 - 17:00</t>
  </si>
  <si>
    <t>Non Baseline Target Audience</t>
  </si>
  <si>
    <t>Pay TV Coberuta Evento Package</t>
  </si>
  <si>
    <t>Pay Tv Event coverage</t>
  </si>
  <si>
    <t>Other</t>
  </si>
  <si>
    <t>Specific sponsorship of BTL activity</t>
  </si>
  <si>
    <t>MARCA X</t>
  </si>
  <si>
    <t>CAMPAÑA X</t>
  </si>
  <si>
    <t>Local</t>
  </si>
  <si>
    <t>TELEFONIA POR CABLE SA DE CV</t>
  </si>
  <si>
    <t>18:00 - 24:00</t>
  </si>
  <si>
    <t xml:space="preserve">P 19-55 ABC+C </t>
  </si>
  <si>
    <t>AXN</t>
  </si>
  <si>
    <t>18:00 - 24:01</t>
  </si>
  <si>
    <t>18:00 - 24:02</t>
  </si>
  <si>
    <t>Costo PROMEDIO Baseline</t>
  </si>
  <si>
    <t>Costo Anterior</t>
  </si>
  <si>
    <t>Costo 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</si>
</sst>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9">
    <numFmt numFmtId="6" formatCode="&quot;$&quot;#,##0;[Red]\-&quot;$&quot;#,##0"/>
    <numFmt numFmtId="7" formatCode="&quot;$&quot;#,##0.00;\-&quot;$&quot;#,##0.0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-&quot;£&quot;* #,##0.00_-;\-&quot;£&quot;* #,##0.00_-;_-&quot;£&quot;* &quot;-&quot;??_-;_-@_-"/>
    <numFmt numFmtId="165" formatCode="_-* #,##0.00\ _D_M_-;\-* #,##0.00\ _D_M_-;_-* &quot;-&quot;??\ _D_M_-;_-@_-"/>
    <numFmt numFmtId="166" formatCode="_-&quot;€&quot;\ * #,##0.00_-;_-&quot;€&quot;\ * #,##0.00\-;_-&quot;€&quot;\ * &quot;-&quot;??_-;_-@_-"/>
    <numFmt numFmtId="167" formatCode="_-* #,##0.00_-;_-* #,##0.00\-;_-* &quot;-&quot;??_-;_-@_-"/>
    <numFmt numFmtId="168" formatCode="#,##0.0"/>
    <numFmt numFmtId="169" formatCode="_-* #&quot;\&quot;&quot;\&quot;\!\!\!\,##0_-;&quot;\&quot;&quot;\&quot;&quot;\&quot;\!\!\!\-* #&quot;\&quot;&quot;\&quot;\!\!\!\,##0_-;_-* &quot;-&quot;_-;_-@_-"/>
    <numFmt numFmtId="170" formatCode="&quot;\&quot;#,##0;&quot;\&quot;\-#,##0"/>
    <numFmt numFmtId="171" formatCode="_ * #\!\,##0_ ;_ * &quot;\&quot;\!\-#\!\,##0_ ;_ * &quot;-&quot;_ ;_ @_ "/>
    <numFmt numFmtId="172" formatCode="0.0"/>
    <numFmt numFmtId="173" formatCode="0.00\ "/>
    <numFmt numFmtId="174" formatCode="0.0000"/>
    <numFmt numFmtId="175" formatCode="0.0000000"/>
    <numFmt numFmtId="176" formatCode="00"/>
    <numFmt numFmtId="177" formatCode="#,##0\ &quot;DM&quot;;[Red]\-#,##0\ &quot;DM&quot;"/>
    <numFmt numFmtId="178" formatCode="#,##0.00\ &quot;DM&quot;;[Red]\-#,##0.00\ &quot;DM&quot;"/>
    <numFmt numFmtId="179" formatCode="[$-F400]h:mm:ss\ AM/PM"/>
    <numFmt numFmtId="180" formatCode="_(* #,##0_);_(* \(#,##0\);_(* &quot;-&quot;??_);_(@_)"/>
    <numFmt numFmtId="181" formatCode="_-&quot;$&quot;* #,##0_-;\-&quot;$&quot;* #,##0_-;_-&quot;$&quot;* &quot;-&quot;??_-;_-@_-"/>
    <numFmt numFmtId="182" formatCode="_-* #,##0.00\ _p_t_a_-;\-* #,##0.00\ _p_t_a_-;_-* &quot;-&quot;??\ _p_t_a_-;_-@_-"/>
    <numFmt numFmtId="183" formatCode="[$EUR]\ #,##0.00"/>
    <numFmt numFmtId="184" formatCode="_ * #,##0.00_ ;_ * \-#,##0.00_ ;_ * &quot;-&quot;??_ ;_ @_ "/>
    <numFmt numFmtId="185" formatCode="dd\/mm\/yyyy"/>
    <numFmt numFmtId="186" formatCode="yyyy\-mm\-dd"/>
    <numFmt numFmtId="187" formatCode="_ &quot;$&quot;\ * #,##0.00_ ;_ &quot;$&quot;\ * \-#,##0.00_ ;_ &quot;$&quot;\ * &quot;-&quot;??_ ;_ @_ "/>
  </numFmts>
  <fonts count="104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sz val="10"/>
      <name val="Tahoma"/>
      <family val="2"/>
    </font>
    <font>
      <sz val="11"/>
      <color indexed="9"/>
      <name val="Calibri"/>
      <family val="2"/>
    </font>
    <font>
      <u/>
      <sz val="11"/>
      <color theme="10"/>
      <name val="Calibri"/>
      <family val="2"/>
      <scheme val="minor"/>
    </font>
    <font>
      <sz val="11"/>
      <color indexed="8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1"/>
      <color theme="10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2"/>
      <name val="바탕체"/>
      <family val="1"/>
      <charset val="129"/>
    </font>
    <font>
      <sz val="12"/>
      <name val="???"/>
      <family val="1"/>
      <charset val="129"/>
    </font>
    <font>
      <sz val="14"/>
      <name val="??"/>
      <family val="3"/>
      <charset val="129"/>
    </font>
    <font>
      <sz val="10"/>
      <color indexed="12"/>
      <name val="Helv"/>
      <family val="2"/>
    </font>
    <font>
      <sz val="10"/>
      <name val="Arial Cyr"/>
      <charset val="204"/>
    </font>
    <font>
      <sz val="11"/>
      <name val="??"/>
      <family val="3"/>
    </font>
    <font>
      <sz val="12"/>
      <color indexed="24"/>
      <name val="???"/>
      <family val="1"/>
      <charset val="129"/>
    </font>
    <font>
      <sz val="8"/>
      <color indexed="8"/>
      <name val="Arial"/>
      <family val="2"/>
    </font>
    <font>
      <b/>
      <sz val="12"/>
      <name val="???"/>
      <family val="1"/>
      <charset val="129"/>
    </font>
    <font>
      <sz val="8"/>
      <color indexed="39"/>
      <name val="Arial"/>
      <family val="2"/>
    </font>
    <font>
      <b/>
      <sz val="12"/>
      <name val="바탕체"/>
      <family val="1"/>
      <charset val="129"/>
    </font>
    <font>
      <b/>
      <sz val="12"/>
      <name val="?oUAAA¨u"/>
      <family val="1"/>
      <charset val="129"/>
    </font>
    <font>
      <b/>
      <sz val="12"/>
      <name val="ⓒoUAAA¨u"/>
      <family val="1"/>
      <charset val="129"/>
    </font>
    <font>
      <sz val="12"/>
      <name val="¹UAAA¼"/>
      <family val="1"/>
      <charset val="129"/>
    </font>
    <font>
      <sz val="12"/>
      <name val="?oUAAA¨u"/>
      <family val="1"/>
      <charset val="129"/>
    </font>
    <font>
      <sz val="12"/>
      <name val="ⓒoUAAA¨u"/>
      <family val="1"/>
      <charset val="129"/>
    </font>
    <font>
      <b/>
      <sz val="12"/>
      <name val="¹UAAA¼"/>
      <family val="1"/>
      <charset val="129"/>
    </font>
    <font>
      <sz val="12"/>
      <name val="Times New Roman"/>
      <family val="1"/>
    </font>
    <font>
      <sz val="10"/>
      <color indexed="10"/>
      <name val="Helv"/>
      <family val="2"/>
    </font>
    <font>
      <sz val="11"/>
      <name val="돋움"/>
      <family val="3"/>
      <charset val="129"/>
    </font>
    <font>
      <sz val="10"/>
      <name val="MS Sans Serif"/>
      <family val="2"/>
    </font>
    <font>
      <sz val="10"/>
      <color indexed="14"/>
      <name val="Helv"/>
      <family val="2"/>
    </font>
    <font>
      <sz val="10"/>
      <name val="Times New Roman"/>
      <family val="1"/>
    </font>
    <font>
      <sz val="8"/>
      <name val="Arial"/>
      <family val="2"/>
    </font>
    <font>
      <b/>
      <u/>
      <sz val="11"/>
      <color indexed="37"/>
      <name val="Arial"/>
      <family val="2"/>
    </font>
    <font>
      <b/>
      <sz val="12"/>
      <name val="Arial"/>
      <family val="2"/>
    </font>
    <font>
      <b/>
      <sz val="10"/>
      <name val="Helv"/>
      <family val="2"/>
    </font>
    <font>
      <sz val="10"/>
      <color indexed="12"/>
      <name val="Arial"/>
      <family val="2"/>
    </font>
    <font>
      <sz val="10"/>
      <name val="Verdana"/>
      <family val="2"/>
    </font>
    <font>
      <sz val="6"/>
      <color indexed="16"/>
      <name val="CG Times (E1)"/>
      <family val="1"/>
    </font>
    <font>
      <sz val="10"/>
      <name val="Arial CE"/>
      <charset val="238"/>
    </font>
    <font>
      <sz val="7"/>
      <name val="Small Fonts"/>
      <family val="2"/>
    </font>
    <font>
      <sz val="10"/>
      <name val="Helv"/>
      <family val="2"/>
    </font>
    <font>
      <sz val="11"/>
      <color theme="1"/>
      <name val="Franklin Gothic Medium"/>
      <family val="2"/>
    </font>
    <font>
      <sz val="10"/>
      <name val="Calibri"/>
      <family val="2"/>
    </font>
    <font>
      <sz val="10"/>
      <color indexed="8"/>
      <name val="Helv"/>
      <family val="2"/>
    </font>
    <font>
      <b/>
      <u/>
      <sz val="12"/>
      <name val="Helv"/>
      <family val="2"/>
    </font>
    <font>
      <b/>
      <sz val="12"/>
      <name val="Helv"/>
      <family val="2"/>
    </font>
    <font>
      <sz val="8"/>
      <color indexed="12"/>
      <name val="Arial"/>
      <family val="2"/>
    </font>
    <font>
      <u/>
      <sz val="11"/>
      <color indexed="36"/>
      <name val="바탕체"/>
      <family val="1"/>
      <charset val="129"/>
    </font>
    <font>
      <sz val="14"/>
      <name val="뼻뮝"/>
      <family val="3"/>
      <charset val="129"/>
    </font>
    <font>
      <sz val="12"/>
      <name val="뼻뮝"/>
      <family val="1"/>
      <charset val="129"/>
    </font>
    <font>
      <sz val="12"/>
      <color indexed="24"/>
      <name val="바탕체"/>
      <family val="1"/>
      <charset val="129"/>
    </font>
    <font>
      <sz val="11"/>
      <name val="돋움"/>
      <family val="3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Calibri"/>
      <family val="2"/>
    </font>
    <font>
      <sz val="11"/>
      <name val="Verdana"/>
      <family val="2"/>
    </font>
    <font>
      <sz val="8"/>
      <color indexed="63"/>
      <name val="Trebuchet MS"/>
      <family val="2"/>
    </font>
    <font>
      <sz val="10"/>
      <color theme="1"/>
      <name val="Trebuchet MS"/>
      <family val="2"/>
    </font>
    <font>
      <sz val="9"/>
      <color theme="1"/>
      <name val="Trebuchet MS"/>
      <family val="2"/>
    </font>
    <font>
      <sz val="9"/>
      <color indexed="8"/>
      <name val="Trebuchet MS"/>
      <family val="2"/>
    </font>
    <font>
      <sz val="10"/>
      <color indexed="8"/>
      <name val="Arial"/>
      <family val="2"/>
    </font>
    <font>
      <sz val="12"/>
      <color theme="1"/>
      <name val="Calibri"/>
      <family val="2"/>
      <charset val="134"/>
      <scheme val="minor"/>
    </font>
    <font>
      <sz val="11"/>
      <color indexed="8"/>
      <name val="Helvetica Neue"/>
    </font>
    <font>
      <sz val="10"/>
      <name val="Helv"/>
    </font>
    <font>
      <sz val="7"/>
      <name val="Palatino"/>
      <family val="1"/>
    </font>
    <font>
      <sz val="12"/>
      <color rgb="FF006100"/>
      <name val="Calibri"/>
      <family val="2"/>
      <scheme val="minor"/>
    </font>
    <font>
      <sz val="12"/>
      <color rgb="FF000000"/>
      <name val="Calibri"/>
      <family val="2"/>
    </font>
    <font>
      <sz val="10"/>
      <color theme="1"/>
      <name val="Calibri"/>
      <family val="2"/>
    </font>
    <font>
      <sz val="11"/>
      <color rgb="FF9C6500"/>
      <name val="Calibri"/>
      <family val="2"/>
      <scheme val="minor"/>
    </font>
    <font>
      <sz val="11"/>
      <color indexed="8"/>
      <name val="Calibri"/>
      <family val="2"/>
      <scheme val="minor"/>
    </font>
  </fonts>
  <fills count="6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57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indexed="63"/>
        <bgColor indexed="64"/>
      </patternFill>
    </fill>
    <fill>
      <patternFill patternType="solid">
        <fgColor theme="0" tint="-4.9989318521683403E-2"/>
        <bgColor indexed="65"/>
      </patternFill>
    </fill>
    <fill>
      <patternFill patternType="solid">
        <fgColor rgb="FF00B0F0"/>
        <bgColor indexed="64"/>
      </patternFill>
    </fill>
    <fill>
      <patternFill patternType="solid">
        <fgColor theme="5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520">
    <xf numFmtId="0" fontId="0" fillId="0" borderId="0"/>
    <xf numFmtId="43" fontId="1" fillId="0" borderId="0" applyFon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10" fillId="6" borderId="5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43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/>
    <xf numFmtId="0" fontId="18" fillId="0" borderId="0"/>
    <xf numFmtId="9" fontId="18" fillId="0" borderId="0" applyFont="0" applyFill="0" applyBorder="0" applyAlignment="0" applyProtection="0"/>
    <xf numFmtId="165" fontId="18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166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0" fontId="21" fillId="0" borderId="0"/>
    <xf numFmtId="43" fontId="18" fillId="0" borderId="0" applyFont="0" applyFill="0" applyBorder="0" applyAlignment="0" applyProtection="0"/>
    <xf numFmtId="0" fontId="22" fillId="33" borderId="0" applyNumberFormat="0" applyBorder="0" applyAlignment="0" applyProtection="0"/>
    <xf numFmtId="0" fontId="23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37" borderId="0" applyNumberFormat="0" applyBorder="0" applyAlignment="0" applyProtection="0"/>
    <xf numFmtId="0" fontId="24" fillId="40" borderId="0" applyNumberFormat="0" applyBorder="0" applyAlignment="0" applyProtection="0"/>
    <xf numFmtId="0" fontId="24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49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50" borderId="0" applyNumberFormat="0" applyBorder="0" applyAlignment="0" applyProtection="0"/>
    <xf numFmtId="0" fontId="25" fillId="35" borderId="0" applyNumberFormat="0" applyBorder="0" applyAlignment="0" applyProtection="0"/>
    <xf numFmtId="0" fontId="26" fillId="51" borderId="12" applyNumberFormat="0" applyAlignment="0" applyProtection="0"/>
    <xf numFmtId="0" fontId="27" fillId="52" borderId="13" applyNumberFormat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166" fontId="18" fillId="0" borderId="0" applyFont="0" applyFill="0" applyBorder="0" applyAlignment="0" applyProtection="0"/>
    <xf numFmtId="0" fontId="28" fillId="0" borderId="0" applyNumberFormat="0" applyFill="0" applyBorder="0" applyAlignment="0" applyProtection="0"/>
    <xf numFmtId="0" fontId="29" fillId="36" borderId="0" applyNumberFormat="0" applyBorder="0" applyAlignment="0" applyProtection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33" fillId="0" borderId="0" applyNumberFormat="0" applyFill="0" applyBorder="0" applyAlignment="0" applyProtection="0">
      <alignment vertical="top"/>
      <protection locked="0"/>
    </xf>
    <xf numFmtId="0" fontId="34" fillId="39" borderId="12" applyNumberFormat="0" applyAlignment="0" applyProtection="0"/>
    <xf numFmtId="167" fontId="21" fillId="0" borderId="0" applyFont="0" applyFill="0" applyBorder="0" applyAlignment="0" applyProtection="0"/>
    <xf numFmtId="0" fontId="35" fillId="0" borderId="17" applyNumberFormat="0" applyFill="0" applyAlignment="0" applyProtection="0"/>
    <xf numFmtId="0" fontId="36" fillId="53" borderId="0" applyNumberFormat="0" applyBorder="0" applyAlignment="0" applyProtection="0"/>
    <xf numFmtId="0" fontId="18" fillId="0" borderId="0"/>
    <xf numFmtId="0" fontId="1" fillId="0" borderId="0"/>
    <xf numFmtId="0" fontId="18" fillId="0" borderId="0"/>
    <xf numFmtId="0" fontId="1" fillId="0" borderId="0"/>
    <xf numFmtId="0" fontId="24" fillId="0" borderId="0"/>
    <xf numFmtId="0" fontId="18" fillId="0" borderId="0"/>
    <xf numFmtId="0" fontId="18" fillId="0" borderId="0"/>
    <xf numFmtId="0" fontId="20" fillId="0" borderId="0"/>
    <xf numFmtId="0" fontId="18" fillId="54" borderId="18" applyNumberFormat="0" applyFont="0" applyAlignment="0" applyProtection="0"/>
    <xf numFmtId="0" fontId="18" fillId="54" borderId="18" applyNumberFormat="0" applyFont="0" applyAlignment="0" applyProtection="0"/>
    <xf numFmtId="0" fontId="37" fillId="51" borderId="19" applyNumberFormat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9" fillId="0" borderId="20" applyNumberFormat="0" applyFill="0" applyAlignment="0" applyProtection="0"/>
    <xf numFmtId="0" fontId="40" fillId="0" borderId="0" applyNumberFormat="0" applyFill="0" applyBorder="0" applyAlignment="0" applyProtection="0"/>
    <xf numFmtId="0" fontId="18" fillId="0" borderId="0"/>
    <xf numFmtId="0" fontId="18" fillId="0" borderId="0" applyNumberFormat="0" applyFill="0" applyBorder="0" applyAlignment="0" applyProtection="0"/>
    <xf numFmtId="0" fontId="24" fillId="0" borderId="0"/>
    <xf numFmtId="0" fontId="41" fillId="0" borderId="0"/>
    <xf numFmtId="0" fontId="41" fillId="0" borderId="0"/>
    <xf numFmtId="0" fontId="42" fillId="0" borderId="0"/>
    <xf numFmtId="9" fontId="24" fillId="0" borderId="0" applyFont="0" applyFill="0" applyBorder="0" applyAlignment="0" applyProtection="0"/>
    <xf numFmtId="0" fontId="42" fillId="0" borderId="0"/>
    <xf numFmtId="40" fontId="43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44" fillId="0" borderId="0" applyNumberFormat="0" applyFill="0" applyBorder="0" applyAlignment="0" applyProtection="0">
      <alignment horizontal="center" vertical="top"/>
    </xf>
    <xf numFmtId="0" fontId="45" fillId="0" borderId="0"/>
    <xf numFmtId="169" fontId="46" fillId="0" borderId="0" applyFont="0" applyFill="0" applyBorder="0" applyAlignment="0" applyProtection="0"/>
    <xf numFmtId="170" fontId="47" fillId="0" borderId="0" applyFont="0" applyFill="0" applyBorder="0" applyAlignment="0" applyProtection="0"/>
    <xf numFmtId="3" fontId="47" fillId="0" borderId="0" applyFont="0" applyFill="0" applyBorder="0" applyAlignment="0" applyProtection="0"/>
    <xf numFmtId="0" fontId="42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49" fontId="48" fillId="55" borderId="11" applyProtection="0">
      <alignment horizontal="right" vertical="top"/>
    </xf>
    <xf numFmtId="171" fontId="49" fillId="0" borderId="0" applyFont="0" applyFill="0" applyBorder="0" applyAlignment="0" applyProtection="0"/>
    <xf numFmtId="49" fontId="48" fillId="56" borderId="22" applyProtection="0">
      <alignment horizontal="left" vertical="top"/>
    </xf>
    <xf numFmtId="172" fontId="50" fillId="57" borderId="22" applyProtection="0">
      <alignment horizontal="right" vertical="top"/>
    </xf>
    <xf numFmtId="168" fontId="48" fillId="56" borderId="22" applyProtection="0">
      <alignment horizontal="right" vertical="top"/>
    </xf>
    <xf numFmtId="49" fontId="48" fillId="58" borderId="22" applyProtection="0">
      <alignment horizontal="left" vertical="top"/>
    </xf>
    <xf numFmtId="171" fontId="51" fillId="0" borderId="0" applyFont="0" applyFill="0" applyBorder="0" applyAlignment="0" applyProtection="0"/>
    <xf numFmtId="49" fontId="48" fillId="55" borderId="23" applyProtection="0">
      <alignment horizontal="left" vertical="top"/>
    </xf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4" borderId="0" applyNumberFormat="0" applyBorder="0" applyAlignment="0" applyProtection="0"/>
    <xf numFmtId="0" fontId="24" fillId="35" borderId="0" applyNumberFormat="0" applyBorder="0" applyAlignment="0" applyProtection="0"/>
    <xf numFmtId="0" fontId="24" fillId="35" borderId="0" applyNumberFormat="0" applyBorder="0" applyAlignment="0" applyProtection="0"/>
    <xf numFmtId="0" fontId="24" fillId="35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6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8" borderId="0" applyNumberFormat="0" applyBorder="0" applyAlignment="0" applyProtection="0"/>
    <xf numFmtId="0" fontId="24" fillId="38" borderId="0" applyNumberFormat="0" applyBorder="0" applyAlignment="0" applyProtection="0"/>
    <xf numFmtId="0" fontId="24" fillId="38" borderId="0" applyNumberFormat="0" applyBorder="0" applyAlignment="0" applyProtection="0"/>
    <xf numFmtId="0" fontId="24" fillId="39" borderId="0" applyNumberFormat="0" applyBorder="0" applyAlignment="0" applyProtection="0"/>
    <xf numFmtId="0" fontId="24" fillId="39" borderId="0" applyNumberFormat="0" applyBorder="0" applyAlignment="0" applyProtection="0"/>
    <xf numFmtId="0" fontId="24" fillId="39" borderId="0" applyNumberFormat="0" applyBorder="0" applyAlignment="0" applyProtection="0"/>
    <xf numFmtId="173" fontId="48" fillId="58" borderId="22" applyProtection="0">
      <alignment horizontal="right" vertical="top"/>
    </xf>
    <xf numFmtId="168" fontId="48" fillId="58" borderId="22" applyProtection="0">
      <alignment horizontal="right" vertical="top"/>
    </xf>
    <xf numFmtId="49" fontId="48" fillId="55" borderId="24" applyProtection="0">
      <alignment horizontal="left" vertical="top" wrapText="1"/>
    </xf>
    <xf numFmtId="0" fontId="18" fillId="0" borderId="0" applyBorder="0"/>
    <xf numFmtId="49" fontId="48" fillId="55" borderId="10" applyProtection="0">
      <alignment horizontal="left" vertical="top"/>
    </xf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1" borderId="0" applyNumberFormat="0" applyBorder="0" applyAlignment="0" applyProtection="0"/>
    <xf numFmtId="0" fontId="24" fillId="41" borderId="0" applyNumberFormat="0" applyBorder="0" applyAlignment="0" applyProtection="0"/>
    <xf numFmtId="0" fontId="24" fillId="41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42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37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4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1" borderId="0" applyNumberFormat="0" applyBorder="0" applyAlignment="0" applyProtection="0"/>
    <xf numFmtId="0" fontId="22" fillId="42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47" borderId="0" applyNumberFormat="0" applyBorder="0" applyAlignment="0" applyProtection="0"/>
    <xf numFmtId="0" fontId="52" fillId="0" borderId="0" applyFont="0" applyFill="0" applyBorder="0" applyAlignment="0" applyProtection="0"/>
    <xf numFmtId="0" fontId="52" fillId="0" borderId="0" applyFont="0" applyFill="0" applyBorder="0" applyAlignment="0" applyProtection="0"/>
    <xf numFmtId="0" fontId="53" fillId="0" borderId="0" applyFont="0" applyFill="0" applyBorder="0" applyAlignment="0" applyProtection="0"/>
    <xf numFmtId="0" fontId="53" fillId="0" borderId="0" applyFont="0" applyFill="0" applyBorder="0" applyAlignment="0" applyProtection="0"/>
    <xf numFmtId="14" fontId="19" fillId="59" borderId="25">
      <alignment horizontal="center" vertical="center"/>
    </xf>
    <xf numFmtId="174" fontId="54" fillId="0" borderId="0" applyFont="0" applyFill="0" applyBorder="0" applyAlignment="0" applyProtection="0"/>
    <xf numFmtId="175" fontId="54" fillId="0" borderId="0" applyFont="0" applyFill="0" applyBorder="0" applyAlignment="0" applyProtection="0"/>
    <xf numFmtId="174" fontId="55" fillId="0" borderId="0" applyFont="0" applyFill="0" applyBorder="0" applyAlignment="0" applyProtection="0"/>
    <xf numFmtId="175" fontId="55" fillId="0" borderId="0" applyFont="0" applyFill="0" applyBorder="0" applyAlignment="0" applyProtection="0"/>
    <xf numFmtId="174" fontId="56" fillId="0" borderId="0" applyFont="0" applyFill="0" applyBorder="0" applyAlignment="0" applyProtection="0"/>
    <xf numFmtId="175" fontId="56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7" fillId="0" borderId="0" applyFont="0" applyFill="0" applyBorder="0" applyAlignment="0" applyProtection="0"/>
    <xf numFmtId="0" fontId="54" fillId="0" borderId="0"/>
    <xf numFmtId="0" fontId="58" fillId="0" borderId="0"/>
    <xf numFmtId="0" fontId="54" fillId="0" borderId="0"/>
    <xf numFmtId="0" fontId="30" fillId="0" borderId="14" applyNumberFormat="0" applyFill="0" applyAlignment="0" applyProtection="0"/>
    <xf numFmtId="0" fontId="31" fillId="0" borderId="15" applyNumberFormat="0" applyFill="0" applyAlignment="0" applyProtection="0"/>
    <xf numFmtId="0" fontId="32" fillId="0" borderId="16" applyNumberFormat="0" applyFill="0" applyAlignment="0" applyProtection="0"/>
    <xf numFmtId="0" fontId="32" fillId="0" borderId="0" applyNumberFormat="0" applyFill="0" applyBorder="0" applyAlignment="0" applyProtection="0"/>
    <xf numFmtId="0" fontId="26" fillId="51" borderId="12" applyNumberFormat="0" applyAlignment="0" applyProtection="0"/>
    <xf numFmtId="0" fontId="35" fillId="0" borderId="17" applyNumberFormat="0" applyFill="0" applyAlignment="0" applyProtection="0"/>
    <xf numFmtId="0" fontId="59" fillId="0" borderId="0" applyNumberFormat="0" applyFill="0" applyBorder="0" applyAlignment="0">
      <alignment horizontal="center" vertical="top"/>
    </xf>
    <xf numFmtId="171" fontId="5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22" fillId="48" borderId="0" applyNumberFormat="0" applyBorder="0" applyAlignment="0" applyProtection="0"/>
    <xf numFmtId="0" fontId="22" fillId="49" borderId="0" applyNumberFormat="0" applyBorder="0" applyAlignment="0" applyProtection="0"/>
    <xf numFmtId="0" fontId="22" fillId="33" borderId="0" applyNumberFormat="0" applyBorder="0" applyAlignment="0" applyProtection="0"/>
    <xf numFmtId="0" fontId="22" fillId="45" borderId="0" applyNumberFormat="0" applyBorder="0" applyAlignment="0" applyProtection="0"/>
    <xf numFmtId="0" fontId="22" fillId="46" borderId="0" applyNumberFormat="0" applyBorder="0" applyAlignment="0" applyProtection="0"/>
    <xf numFmtId="0" fontId="22" fillId="50" borderId="0" applyNumberFormat="0" applyBorder="0" applyAlignment="0" applyProtection="0"/>
    <xf numFmtId="0" fontId="29" fillId="36" borderId="0" applyNumberFormat="0" applyBorder="0" applyAlignment="0" applyProtection="0"/>
    <xf numFmtId="0" fontId="60" fillId="0" borderId="0"/>
    <xf numFmtId="6" fontId="46" fillId="0" borderId="0">
      <protection locked="0"/>
    </xf>
    <xf numFmtId="38" fontId="61" fillId="0" borderId="0" applyFont="0" applyFill="0" applyBorder="0" applyAlignment="0" applyProtection="0"/>
    <xf numFmtId="40" fontId="61" fillId="0" borderId="0" applyFont="0" applyFill="0" applyBorder="0" applyAlignment="0" applyProtection="0"/>
    <xf numFmtId="0" fontId="34" fillId="39" borderId="12" applyNumberFormat="0" applyAlignment="0" applyProtection="0"/>
    <xf numFmtId="0" fontId="62" fillId="0" borderId="0" applyNumberFormat="0" applyFill="0" applyBorder="0" applyAlignment="0" applyProtection="0">
      <alignment horizontal="center"/>
    </xf>
    <xf numFmtId="0" fontId="18" fillId="0" borderId="0" applyFont="0" applyFill="0" applyBorder="0" applyAlignment="0" applyProtection="0"/>
    <xf numFmtId="176" fontId="63" fillId="0" borderId="0">
      <protection locked="0"/>
    </xf>
    <xf numFmtId="38" fontId="64" fillId="55" borderId="0" applyNumberFormat="0" applyBorder="0" applyAlignment="0" applyProtection="0"/>
    <xf numFmtId="0" fontId="65" fillId="0" borderId="0" applyNumberFormat="0" applyFill="0" applyBorder="0" applyAlignment="0" applyProtection="0"/>
    <xf numFmtId="0" fontId="66" fillId="0" borderId="21" applyNumberFormat="0" applyAlignment="0" applyProtection="0">
      <alignment horizontal="left" vertical="center"/>
    </xf>
    <xf numFmtId="0" fontId="66" fillId="0" borderId="26">
      <alignment horizontal="left" vertical="center"/>
    </xf>
    <xf numFmtId="0" fontId="67" fillId="0" borderId="0" applyNumberFormat="0">
      <alignment horizontal="left"/>
    </xf>
    <xf numFmtId="0" fontId="18" fillId="0" borderId="0">
      <protection locked="0"/>
    </xf>
    <xf numFmtId="0" fontId="18" fillId="0" borderId="0">
      <protection locked="0"/>
    </xf>
    <xf numFmtId="0" fontId="18" fillId="0" borderId="0">
      <protection locked="0"/>
    </xf>
    <xf numFmtId="0" fontId="18" fillId="0" borderId="0">
      <protection locked="0"/>
    </xf>
    <xf numFmtId="0" fontId="18" fillId="0" borderId="0">
      <protection locked="0"/>
    </xf>
    <xf numFmtId="0" fontId="18" fillId="0" borderId="0">
      <protection locked="0"/>
    </xf>
    <xf numFmtId="0" fontId="68" fillId="0" borderId="27" applyNumberFormat="0" applyFill="0" applyAlignment="0" applyProtection="0"/>
    <xf numFmtId="0" fontId="62" fillId="0" borderId="0" applyNumberFormat="0" applyFill="0" applyBorder="0" applyAlignment="0" applyProtection="0">
      <alignment horizontal="center"/>
    </xf>
    <xf numFmtId="0" fontId="25" fillId="35" borderId="0" applyNumberFormat="0" applyBorder="0" applyAlignment="0" applyProtection="0"/>
    <xf numFmtId="10" fontId="64" fillId="56" borderId="10" applyNumberFormat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38" fontId="61" fillId="0" borderId="0" applyFont="0" applyFill="0" applyBorder="0" applyAlignment="0" applyProtection="0"/>
    <xf numFmtId="43" fontId="18" fillId="0" borderId="0" applyFont="0" applyFill="0" applyBorder="0" applyAlignment="0" applyProtection="0"/>
    <xf numFmtId="40" fontId="61" fillId="0" borderId="0" applyFont="0" applyFill="0" applyBorder="0" applyAlignment="0" applyProtection="0"/>
    <xf numFmtId="6" fontId="61" fillId="0" borderId="0" applyFont="0" applyFill="0" applyBorder="0" applyAlignment="0" applyProtection="0"/>
    <xf numFmtId="8" fontId="61" fillId="0" borderId="0" applyFont="0" applyFill="0" applyBorder="0" applyAlignment="0" applyProtection="0"/>
    <xf numFmtId="6" fontId="61" fillId="0" borderId="0" applyFont="0" applyFill="0" applyBorder="0" applyAlignment="0" applyProtection="0"/>
    <xf numFmtId="8" fontId="61" fillId="0" borderId="0" applyFont="0" applyFill="0" applyBorder="0" applyAlignment="0" applyProtection="0"/>
    <xf numFmtId="171" fontId="51" fillId="0" borderId="0" applyFont="0" applyFill="0" applyBorder="0" applyAlignment="0" applyProtection="0"/>
    <xf numFmtId="37" fontId="70" fillId="0" borderId="0" applyFill="0" applyBorder="0" applyAlignment="0" applyProtection="0"/>
    <xf numFmtId="0" fontId="71" fillId="0" borderId="0"/>
    <xf numFmtId="0" fontId="36" fillId="53" borderId="0" applyNumberFormat="0" applyBorder="0" applyAlignment="0" applyProtection="0"/>
    <xf numFmtId="37" fontId="72" fillId="0" borderId="0"/>
    <xf numFmtId="0" fontId="73" fillId="0" borderId="0"/>
    <xf numFmtId="0" fontId="24" fillId="0" borderId="0"/>
    <xf numFmtId="0" fontId="24" fillId="0" borderId="0"/>
    <xf numFmtId="0" fontId="1" fillId="0" borderId="0"/>
    <xf numFmtId="0" fontId="18" fillId="0" borderId="0"/>
    <xf numFmtId="0" fontId="74" fillId="0" borderId="0"/>
    <xf numFmtId="0" fontId="18" fillId="0" borderId="0"/>
    <xf numFmtId="0" fontId="18" fillId="0" borderId="0" applyNumberFormat="0" applyFill="0" applyBorder="0" applyAlignment="0" applyProtection="0"/>
    <xf numFmtId="0" fontId="18" fillId="0" borderId="0" applyNumberFormat="0" applyFill="0" applyBorder="0" applyAlignment="0" applyProtection="0"/>
    <xf numFmtId="0" fontId="69" fillId="0" borderId="0" applyNumberFormat="0" applyFill="0" applyBorder="0" applyAlignment="0" applyProtection="0"/>
    <xf numFmtId="0" fontId="75" fillId="0" borderId="0" applyNumberFormat="0" applyFill="0" applyBorder="0" applyAlignment="0" applyProtection="0"/>
    <xf numFmtId="0" fontId="24" fillId="0" borderId="0"/>
    <xf numFmtId="0" fontId="24" fillId="0" borderId="0"/>
    <xf numFmtId="0" fontId="18" fillId="0" borderId="0"/>
    <xf numFmtId="0" fontId="18" fillId="0" borderId="0"/>
    <xf numFmtId="0" fontId="24" fillId="0" borderId="0"/>
    <xf numFmtId="0" fontId="71" fillId="0" borderId="0"/>
    <xf numFmtId="0" fontId="18" fillId="54" borderId="18" applyNumberFormat="0" applyFont="0" applyAlignment="0" applyProtection="0"/>
    <xf numFmtId="0" fontId="18" fillId="54" borderId="1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24" fillId="8" borderId="8" applyNumberFormat="0" applyFont="0" applyAlignment="0" applyProtection="0"/>
    <xf numFmtId="0" fontId="76" fillId="0" borderId="0" applyNumberFormat="0" applyFill="0" applyBorder="0" applyAlignment="0" applyProtection="0">
      <alignment vertical="top"/>
    </xf>
    <xf numFmtId="10" fontId="18" fillId="0" borderId="0" applyFont="0" applyFill="0" applyBorder="0" applyAlignment="0" applyProtection="0"/>
    <xf numFmtId="10" fontId="18" fillId="0" borderId="0" applyFont="0" applyFill="0" applyBorder="0" applyAlignment="0" applyProtection="0"/>
    <xf numFmtId="9" fontId="18" fillId="0" borderId="0" applyFont="0" applyFill="0" applyBorder="0" applyAlignment="0" applyProtection="0">
      <alignment vertical="center"/>
    </xf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61" fillId="0" borderId="28" applyNumberFormat="0" applyBorder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9" fontId="24" fillId="0" borderId="0" applyFont="0" applyFill="0" applyBorder="0" applyAlignment="0" applyProtection="0"/>
    <xf numFmtId="0" fontId="44" fillId="0" borderId="0" applyNumberFormat="0" applyFill="0" applyBorder="0" applyAlignment="0">
      <alignment horizontal="center" vertical="top"/>
    </xf>
    <xf numFmtId="0" fontId="67" fillId="1" borderId="0" applyNumberFormat="0" applyFill="0" applyBorder="0" applyAlignment="0">
      <alignment horizontal="center"/>
    </xf>
    <xf numFmtId="0" fontId="77" fillId="0" borderId="0" applyNumberFormat="0" applyFill="0" applyBorder="0">
      <alignment horizontal="left"/>
    </xf>
    <xf numFmtId="7" fontId="78" fillId="0" borderId="0" applyFill="0" applyBorder="0">
      <alignment horizontal="right"/>
    </xf>
    <xf numFmtId="0" fontId="37" fillId="51" borderId="19" applyNumberFormat="0" applyAlignment="0" applyProtection="0"/>
    <xf numFmtId="0" fontId="18" fillId="0" borderId="0" applyNumberFormat="0" applyFill="0" applyBorder="0" applyAlignment="0" applyProtection="0"/>
    <xf numFmtId="0" fontId="76" fillId="0" borderId="0" applyNumberFormat="0" applyFont="0" applyFill="0" applyAlignment="0">
      <alignment horizontal="center" vertical="top"/>
    </xf>
    <xf numFmtId="0" fontId="40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37" fontId="64" fillId="60" borderId="0" applyNumberFormat="0" applyBorder="0" applyAlignment="0" applyProtection="0"/>
    <xf numFmtId="37" fontId="64" fillId="0" borderId="0"/>
    <xf numFmtId="37" fontId="64" fillId="55" borderId="0" applyNumberFormat="0" applyBorder="0" applyAlignment="0" applyProtection="0"/>
    <xf numFmtId="3" fontId="79" fillId="0" borderId="27" applyProtection="0"/>
    <xf numFmtId="0" fontId="27" fillId="52" borderId="13" applyNumberFormat="0" applyAlignment="0" applyProtection="0"/>
    <xf numFmtId="177" fontId="61" fillId="0" borderId="0" applyFont="0" applyFill="0" applyBorder="0" applyAlignment="0" applyProtection="0"/>
    <xf numFmtId="178" fontId="61" fillId="0" borderId="0" applyFont="0" applyFill="0" applyBorder="0" applyAlignment="0" applyProtection="0"/>
    <xf numFmtId="0" fontId="45" fillId="0" borderId="0"/>
    <xf numFmtId="0" fontId="80" fillId="0" borderId="0" applyNumberFormat="0" applyFill="0" applyBorder="0" applyAlignment="0" applyProtection="0">
      <alignment vertical="top"/>
      <protection locked="0"/>
    </xf>
    <xf numFmtId="40" fontId="81" fillId="0" borderId="0" applyFont="0" applyFill="0" applyBorder="0" applyAlignment="0" applyProtection="0"/>
    <xf numFmtId="38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1" fillId="0" borderId="0" applyFont="0" applyFill="0" applyBorder="0" applyAlignment="0" applyProtection="0"/>
    <xf numFmtId="0" fontId="82" fillId="0" borderId="0"/>
    <xf numFmtId="3" fontId="83" fillId="0" borderId="0" applyFont="0" applyFill="0" applyBorder="0" applyAlignment="0" applyProtection="0"/>
    <xf numFmtId="0" fontId="41" fillId="0" borderId="0"/>
    <xf numFmtId="0" fontId="60" fillId="0" borderId="0" applyFont="0" applyFill="0" applyBorder="0" applyAlignment="0" applyProtection="0"/>
    <xf numFmtId="0" fontId="41" fillId="0" borderId="0" applyFont="0" applyFill="0" applyBorder="0" applyAlignment="0" applyProtection="0"/>
    <xf numFmtId="170" fontId="83" fillId="0" borderId="0" applyFont="0" applyFill="0" applyBorder="0" applyAlignment="0" applyProtection="0"/>
    <xf numFmtId="0" fontId="58" fillId="0" borderId="0"/>
    <xf numFmtId="43" fontId="24" fillId="0" borderId="0" applyFont="0" applyFill="0" applyBorder="0" applyAlignment="0" applyProtection="0"/>
    <xf numFmtId="0" fontId="18" fillId="0" borderId="0" applyNumberFormat="0" applyFill="0" applyBorder="0" applyAlignment="0" applyProtection="0"/>
    <xf numFmtId="0" fontId="24" fillId="0" borderId="0"/>
    <xf numFmtId="0" fontId="18" fillId="0" borderId="0" applyBorder="0"/>
    <xf numFmtId="169" fontId="84" fillId="0" borderId="0" applyFont="0" applyFill="0" applyBorder="0" applyAlignment="0" applyProtection="0"/>
    <xf numFmtId="0" fontId="84" fillId="0" borderId="0"/>
    <xf numFmtId="9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182" fontId="89" fillId="0" borderId="0" applyFont="0" applyFill="0" applyBorder="0" applyAlignment="0" applyProtection="0"/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0" fontId="87" fillId="0" borderId="0"/>
    <xf numFmtId="0" fontId="1" fillId="0" borderId="0"/>
    <xf numFmtId="43" fontId="1" fillId="0" borderId="0" applyFont="0" applyFill="0" applyBorder="0" applyAlignment="0" applyProtection="0"/>
    <xf numFmtId="0" fontId="91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90" fillId="0" borderId="0" applyAlignment="0">
      <alignment vertical="top" wrapText="1"/>
      <protection locked="0"/>
    </xf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83" fontId="18" fillId="0" borderId="0"/>
    <xf numFmtId="9" fontId="91" fillId="0" borderId="0" applyFont="0" applyFill="0" applyBorder="0" applyAlignment="0" applyProtection="0"/>
    <xf numFmtId="183" fontId="1" fillId="0" borderId="0"/>
    <xf numFmtId="44" fontId="1" fillId="0" borderId="0" applyFont="0" applyFill="0" applyBorder="0" applyAlignment="0" applyProtection="0"/>
    <xf numFmtId="0" fontId="18" fillId="0" borderId="0"/>
    <xf numFmtId="44" fontId="91" fillId="0" borderId="0" applyFont="0" applyFill="0" applyBorder="0" applyAlignment="0" applyProtection="0"/>
    <xf numFmtId="183" fontId="91" fillId="0" borderId="0"/>
    <xf numFmtId="43" fontId="91" fillId="0" borderId="0" applyFont="0" applyFill="0" applyBorder="0" applyAlignment="0" applyProtection="0"/>
    <xf numFmtId="0" fontId="1" fillId="0" borderId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8" fillId="0" borderId="0"/>
    <xf numFmtId="44" fontId="1" fillId="0" borderId="0" applyFont="0" applyFill="0" applyBorder="0" applyAlignment="0" applyProtection="0"/>
    <xf numFmtId="4" fontId="48" fillId="56" borderId="22" applyProtection="0">
      <alignment horizontal="right" vertical="top"/>
    </xf>
    <xf numFmtId="4" fontId="48" fillId="58" borderId="22" applyProtection="0">
      <alignment horizontal="right" vertical="top"/>
    </xf>
    <xf numFmtId="0" fontId="18" fillId="0" borderId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0" fontId="92" fillId="0" borderId="0"/>
    <xf numFmtId="44" fontId="93" fillId="0" borderId="0" applyFont="0" applyFill="0" applyBorder="0" applyAlignment="0" applyProtection="0"/>
    <xf numFmtId="0" fontId="1" fillId="0" borderId="0"/>
    <xf numFmtId="0" fontId="69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0" fontId="18" fillId="0" borderId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18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0" fontId="18" fillId="0" borderId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0" fontId="95" fillId="0" borderId="0"/>
    <xf numFmtId="0" fontId="96" fillId="0" borderId="0" applyNumberFormat="0" applyFill="0" applyBorder="0" applyProtection="0">
      <alignment vertical="top"/>
    </xf>
    <xf numFmtId="49" fontId="48" fillId="65" borderId="22" applyProtection="0">
      <alignment horizontal="left" vertical="top"/>
    </xf>
    <xf numFmtId="0" fontId="18" fillId="0" borderId="0">
      <alignment vertical="top"/>
    </xf>
    <xf numFmtId="0" fontId="97" fillId="0" borderId="0"/>
    <xf numFmtId="43" fontId="18" fillId="0" borderId="0" applyFont="0" applyFill="0" applyBorder="0" applyAlignment="0" applyProtection="0"/>
    <xf numFmtId="0" fontId="98" fillId="55" borderId="29" applyNumberFormat="0" applyFont="0" applyBorder="0" applyAlignment="0" applyProtection="0">
      <alignment vertical="top"/>
    </xf>
    <xf numFmtId="0" fontId="18" fillId="0" borderId="0">
      <alignment vertical="top"/>
    </xf>
    <xf numFmtId="0" fontId="94" fillId="0" borderId="0">
      <alignment vertical="top"/>
    </xf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2" fontId="50" fillId="57" borderId="22" applyProtection="0">
      <alignment horizontal="right" vertical="top"/>
    </xf>
    <xf numFmtId="185" fontId="48" fillId="58" borderId="22" applyProtection="0">
      <alignment horizontal="left" vertical="top"/>
    </xf>
    <xf numFmtId="186" fontId="48" fillId="58" borderId="22" applyProtection="0">
      <alignment horizontal="left" vertical="top"/>
    </xf>
    <xf numFmtId="44" fontId="1" fillId="0" borderId="0" applyFont="0" applyFill="0" applyBorder="0" applyAlignment="0" applyProtection="0"/>
    <xf numFmtId="4" fontId="48" fillId="56" borderId="22" applyProtection="0">
      <alignment horizontal="right" vertical="top"/>
    </xf>
    <xf numFmtId="44" fontId="18" fillId="0" borderId="0" applyFont="0" applyFill="0" applyBorder="0" applyAlignment="0" applyProtection="0"/>
    <xf numFmtId="19" fontId="48" fillId="56" borderId="22" applyProtection="0">
      <alignment horizontal="right" vertical="top"/>
    </xf>
    <xf numFmtId="4" fontId="48" fillId="56" borderId="22" applyProtection="0">
      <alignment horizontal="right" vertical="top"/>
    </xf>
    <xf numFmtId="49" fontId="48" fillId="56" borderId="22" applyProtection="0">
      <alignment horizontal="left" vertical="top"/>
    </xf>
    <xf numFmtId="19" fontId="48" fillId="56" borderId="22" applyProtection="0">
      <alignment horizontal="right" vertical="top"/>
    </xf>
    <xf numFmtId="186" fontId="48" fillId="58" borderId="22" applyProtection="0">
      <alignment horizontal="left" vertical="top"/>
    </xf>
    <xf numFmtId="19" fontId="48" fillId="58" borderId="22" applyProtection="0">
      <alignment horizontal="right" vertical="top"/>
    </xf>
    <xf numFmtId="49" fontId="48" fillId="56" borderId="22" applyProtection="0">
      <alignment horizontal="left" vertical="top"/>
    </xf>
    <xf numFmtId="0" fontId="18" fillId="0" borderId="0"/>
    <xf numFmtId="0" fontId="18" fillId="0" borderId="0"/>
    <xf numFmtId="0" fontId="48" fillId="56" borderId="22" applyNumberFormat="0" applyProtection="0">
      <alignment horizontal="right" vertical="top"/>
    </xf>
    <xf numFmtId="0" fontId="89" fillId="0" borderId="0" applyNumberFormat="0" applyFill="0" applyBorder="0" applyAlignment="0" applyProtection="0"/>
    <xf numFmtId="0" fontId="34" fillId="39" borderId="12" applyNumberFormat="0" applyAlignment="0" applyProtection="0"/>
    <xf numFmtId="0" fontId="89" fillId="54" borderId="18" applyNumberFormat="0" applyFont="0" applyAlignment="0" applyProtection="0"/>
    <xf numFmtId="0" fontId="1" fillId="0" borderId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0" fontId="89" fillId="0" borderId="0" applyNumberFormat="0" applyFill="0" applyBorder="0" applyAlignment="0" applyProtection="0"/>
    <xf numFmtId="44" fontId="18" fillId="0" borderId="0"/>
    <xf numFmtId="0" fontId="89" fillId="0" borderId="0" applyNumberFormat="0" applyFill="0" applyBorder="0" applyAlignment="0" applyProtection="0"/>
    <xf numFmtId="182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0" fontId="18" fillId="0" borderId="0"/>
    <xf numFmtId="43" fontId="18" fillId="0" borderId="0" applyFont="0" applyFill="0" applyBorder="0" applyAlignment="0" applyProtection="0"/>
    <xf numFmtId="0" fontId="18" fillId="0" borderId="0"/>
    <xf numFmtId="0" fontId="18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87" fillId="0" borderId="0"/>
    <xf numFmtId="9" fontId="87" fillId="0" borderId="0" applyFont="0" applyFill="0" applyBorder="0" applyAlignment="0" applyProtection="0"/>
    <xf numFmtId="0" fontId="99" fillId="2" borderId="0" applyNumberFormat="0" applyBorder="0" applyAlignment="0" applyProtection="0"/>
    <xf numFmtId="0" fontId="87" fillId="0" borderId="0"/>
    <xf numFmtId="0" fontId="87" fillId="0" borderId="0" applyBorder="0"/>
    <xf numFmtId="44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0" fontId="87" fillId="66" borderId="0" applyNumberFormat="0" applyBorder="0" applyAlignment="0" applyProtection="0"/>
    <xf numFmtId="0" fontId="100" fillId="0" borderId="0"/>
    <xf numFmtId="0" fontId="87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89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6" fontId="46" fillId="0" borderId="0">
      <protection locked="0"/>
    </xf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7" fontId="78" fillId="0" borderId="0" applyFill="0" applyBorder="0">
      <alignment horizontal="right"/>
    </xf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89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9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87" fillId="0" borderId="0" applyFont="0" applyFill="0" applyBorder="0" applyAlignment="0" applyProtection="0"/>
    <xf numFmtId="44" fontId="87" fillId="0" borderId="0" applyFont="0" applyFill="0" applyBorder="0" applyAlignment="0" applyProtection="0"/>
    <xf numFmtId="44" fontId="93" fillId="0" borderId="0" applyFont="0" applyFill="0" applyBorder="0" applyAlignment="0" applyProtection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18" fillId="0" borderId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9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4" fontId="1" fillId="0" borderId="0" applyFont="0" applyFill="0" applyBorder="0" applyAlignment="0" applyProtection="0"/>
    <xf numFmtId="44" fontId="18" fillId="0" borderId="0" applyFont="0" applyFill="0" applyBorder="0" applyAlignment="0" applyProtection="0"/>
    <xf numFmtId="44" fontId="18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20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69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2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91" fillId="0" borderId="0" applyFont="0" applyFill="0" applyBorder="0" applyAlignment="0" applyProtection="0"/>
    <xf numFmtId="43" fontId="87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8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4" fontId="87" fillId="0" borderId="0" applyFont="0" applyFill="0" applyBorder="0" applyAlignment="0" applyProtection="0"/>
    <xf numFmtId="43" fontId="87" fillId="0" borderId="0" applyFont="0" applyFill="0" applyBorder="0" applyAlignment="0" applyProtection="0"/>
    <xf numFmtId="0" fontId="90" fillId="0" borderId="0" applyAlignment="0">
      <alignment vertical="top" wrapText="1"/>
      <protection locked="0"/>
    </xf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7" fillId="3" borderId="0" applyNumberFormat="0" applyBorder="0" applyAlignment="0" applyProtection="0"/>
    <xf numFmtId="0" fontId="102" fillId="4" borderId="0" applyNumberFormat="0" applyBorder="0" applyAlignment="0" applyProtection="0"/>
    <xf numFmtId="0" fontId="9" fillId="5" borderId="4" applyNumberFormat="0" applyAlignment="0" applyProtection="0"/>
    <xf numFmtId="0" fontId="11" fillId="6" borderId="4" applyNumberFormat="0" applyAlignment="0" applyProtection="0"/>
    <xf numFmtId="0" fontId="15" fillId="0" borderId="0" applyNumberFormat="0" applyFill="0" applyBorder="0" applyAlignment="0" applyProtection="0"/>
    <xf numFmtId="0" fontId="17" fillId="12" borderId="0" applyNumberFormat="0" applyBorder="0" applyAlignment="0" applyProtection="0"/>
    <xf numFmtId="0" fontId="17" fillId="16" borderId="0" applyNumberFormat="0" applyBorder="0" applyAlignment="0" applyProtection="0"/>
    <xf numFmtId="0" fontId="17" fillId="20" borderId="0" applyNumberFormat="0" applyBorder="0" applyAlignment="0" applyProtection="0"/>
    <xf numFmtId="0" fontId="17" fillId="24" borderId="0" applyNumberFormat="0" applyBorder="0" applyAlignment="0" applyProtection="0"/>
    <xf numFmtId="0" fontId="17" fillId="28" borderId="0" applyNumberFormat="0" applyBorder="0" applyAlignment="0" applyProtection="0"/>
    <xf numFmtId="0" fontId="17" fillId="32" borderId="0" applyNumberFormat="0" applyBorder="0" applyAlignment="0" applyProtection="0"/>
    <xf numFmtId="0" fontId="103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4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8" fillId="4" borderId="0" applyNumberFormat="0" applyBorder="0" applyAlignment="0" applyProtection="0"/>
    <xf numFmtId="0" fontId="1" fillId="12" borderId="0" applyNumberFormat="0" applyBorder="0" applyAlignment="0" applyProtection="0"/>
    <xf numFmtId="0" fontId="1" fillId="16" borderId="0" applyNumberFormat="0" applyBorder="0" applyAlignment="0" applyProtection="0"/>
    <xf numFmtId="0" fontId="1" fillId="20" borderId="0" applyNumberFormat="0" applyBorder="0" applyAlignment="0" applyProtection="0"/>
    <xf numFmtId="0" fontId="1" fillId="24" borderId="0" applyNumberFormat="0" applyBorder="0" applyAlignment="0" applyProtection="0"/>
    <xf numFmtId="0" fontId="1" fillId="28" borderId="0" applyNumberFormat="0" applyBorder="0" applyAlignment="0" applyProtection="0"/>
    <xf numFmtId="0" fontId="1" fillId="32" borderId="0" applyNumberFormat="0" applyBorder="0" applyAlignment="0" applyProtection="0"/>
    <xf numFmtId="187" fontId="1" fillId="0" borderId="0" applyFont="0" applyFill="0" applyBorder="0" applyAlignment="0" applyProtection="0"/>
    <xf numFmtId="184" fontId="1" fillId="0" borderId="0" applyFont="0" applyFill="0" applyBorder="0" applyAlignment="0" applyProtection="0"/>
    <xf numFmtId="0" fontId="90" fillId="0" borderId="0" applyAlignment="0">
      <alignment vertical="top" wrapText="1"/>
      <protection locked="0"/>
    </xf>
    <xf numFmtId="44" fontId="1" fillId="0" borderId="0" applyFont="0" applyFill="0" applyBorder="0" applyAlignment="0" applyProtection="0"/>
  </cellStyleXfs>
  <cellXfs count="40">
    <xf numFmtId="0" fontId="0" fillId="0" borderId="0" xfId="0"/>
    <xf numFmtId="180" fontId="88" fillId="0" borderId="10" xfId="1" applyNumberFormat="1" applyFont="1" applyFill="1" applyBorder="1" applyAlignment="1">
      <alignment horizontal="center"/>
    </xf>
    <xf numFmtId="0" fontId="0" fillId="67" borderId="0" xfId="0" applyFill="1"/>
    <xf numFmtId="1" fontId="101" fillId="0" borderId="10" xfId="33" applyNumberFormat="1" applyFont="1" applyFill="1" applyBorder="1" applyAlignment="1">
      <alignment horizontal="left"/>
    </xf>
    <xf numFmtId="0" fontId="13" fillId="68" borderId="0" xfId="0" applyFont="1" applyFill="1" applyAlignment="1">
      <alignment horizontal="center" vertical="center" wrapText="1"/>
    </xf>
    <xf numFmtId="168" fontId="13" fillId="67" borderId="10" xfId="33" applyNumberFormat="1" applyFont="1" applyFill="1" applyBorder="1" applyAlignment="1">
      <alignment horizontal="center" vertical="center" wrapText="1"/>
    </xf>
    <xf numFmtId="0" fontId="101" fillId="0" borderId="10" xfId="0" applyFont="1" applyFill="1" applyBorder="1" applyAlignment="1" applyProtection="1">
      <alignment horizontal="center"/>
    </xf>
    <xf numFmtId="0" fontId="88" fillId="0" borderId="10" xfId="33" applyFont="1" applyFill="1" applyBorder="1" applyAlignment="1">
      <alignment horizontal="center"/>
    </xf>
    <xf numFmtId="0" fontId="0" fillId="0" borderId="0" xfId="0"/>
    <xf numFmtId="0" fontId="0" fillId="0" borderId="0" xfId="0" applyFill="1"/>
    <xf numFmtId="0" fontId="85" fillId="0" borderId="10" xfId="0" applyFont="1" applyFill="1" applyBorder="1" applyAlignment="1">
      <alignment horizontal="center"/>
    </xf>
    <xf numFmtId="3" fontId="13" fillId="62" borderId="10" xfId="33" applyNumberFormat="1" applyFont="1" applyFill="1" applyBorder="1" applyAlignment="1">
      <alignment horizontal="center" vertical="center" wrapText="1"/>
    </xf>
    <xf numFmtId="14" fontId="13" fillId="62" borderId="10" xfId="33" applyNumberFormat="1" applyFont="1" applyFill="1" applyBorder="1" applyAlignment="1">
      <alignment horizontal="center" vertical="center" wrapText="1"/>
    </xf>
    <xf numFmtId="49" fontId="13" fillId="62" borderId="10" xfId="33" applyNumberFormat="1" applyFont="1" applyFill="1" applyBorder="1" applyAlignment="1">
      <alignment horizontal="center" vertical="center" wrapText="1"/>
    </xf>
    <xf numFmtId="1" fontId="13" fillId="62" borderId="10" xfId="33" applyNumberFormat="1" applyFont="1" applyFill="1" applyBorder="1" applyAlignment="1">
      <alignment horizontal="center" vertical="center" wrapText="1"/>
    </xf>
    <xf numFmtId="168" fontId="13" fillId="62" borderId="10" xfId="33" applyNumberFormat="1" applyFont="1" applyFill="1" applyBorder="1" applyAlignment="1">
      <alignment horizontal="center" vertical="center" wrapText="1"/>
    </xf>
    <xf numFmtId="0" fontId="85" fillId="0" borderId="10" xfId="0" applyFont="1" applyFill="1" applyBorder="1" applyAlignment="1">
      <alignment horizontal="left"/>
    </xf>
    <xf numFmtId="0" fontId="86" fillId="0" borderId="10" xfId="0" applyFont="1" applyFill="1" applyBorder="1" applyAlignment="1" applyProtection="1">
      <alignment horizontal="left" wrapText="1"/>
    </xf>
    <xf numFmtId="180" fontId="85" fillId="0" borderId="10" xfId="1" applyNumberFormat="1" applyFont="1" applyFill="1" applyBorder="1" applyAlignment="1">
      <alignment horizontal="center"/>
    </xf>
    <xf numFmtId="1" fontId="75" fillId="0" borderId="10" xfId="33" applyNumberFormat="1" applyFont="1" applyFill="1" applyBorder="1" applyAlignment="1">
      <alignment horizontal="center"/>
    </xf>
    <xf numFmtId="0" fontId="75" fillId="0" borderId="10" xfId="0" applyFont="1" applyFill="1" applyBorder="1" applyAlignment="1">
      <alignment horizontal="center"/>
    </xf>
    <xf numFmtId="0" fontId="88" fillId="0" borderId="10" xfId="0" applyFont="1" applyFill="1" applyBorder="1" applyAlignment="1">
      <alignment horizontal="center"/>
    </xf>
    <xf numFmtId="3" fontId="75" fillId="0" borderId="10" xfId="33" applyNumberFormat="1" applyFont="1" applyFill="1" applyBorder="1" applyAlignment="1">
      <alignment horizontal="center"/>
    </xf>
    <xf numFmtId="168" fontId="75" fillId="0" borderId="10" xfId="33" applyNumberFormat="1" applyFont="1" applyFill="1" applyBorder="1" applyAlignment="1">
      <alignment horizontal="center"/>
    </xf>
    <xf numFmtId="0" fontId="88" fillId="63" borderId="10" xfId="33" applyFont="1" applyFill="1" applyBorder="1" applyAlignment="1">
      <alignment horizontal="center"/>
    </xf>
    <xf numFmtId="0" fontId="88" fillId="64" borderId="10" xfId="33" applyFont="1" applyFill="1" applyBorder="1" applyAlignment="1">
      <alignment horizontal="center"/>
    </xf>
    <xf numFmtId="14" fontId="88" fillId="0" borderId="10" xfId="0" applyNumberFormat="1" applyFont="1" applyFill="1" applyBorder="1" applyAlignment="1">
      <alignment horizontal="center"/>
    </xf>
    <xf numFmtId="179" fontId="88" fillId="0" borderId="10" xfId="0" applyNumberFormat="1" applyFont="1" applyFill="1" applyBorder="1" applyAlignment="1">
      <alignment horizontal="center"/>
    </xf>
    <xf numFmtId="1" fontId="75" fillId="0" borderId="10" xfId="33" applyNumberFormat="1" applyFont="1" applyFill="1" applyBorder="1" applyAlignment="1">
      <alignment horizontal="left"/>
    </xf>
    <xf numFmtId="0" fontId="88" fillId="0" borderId="10" xfId="0" applyFont="1" applyFill="1" applyBorder="1" applyAlignment="1" applyProtection="1">
      <alignment horizontal="center"/>
    </xf>
    <xf numFmtId="181" fontId="86" fillId="0" borderId="10" xfId="815" applyNumberFormat="1" applyFont="1" applyFill="1" applyBorder="1" applyAlignment="1" applyProtection="1">
      <alignment horizontal="left"/>
    </xf>
    <xf numFmtId="0" fontId="0" fillId="61" borderId="0" xfId="0" applyFill="1"/>
    <xf numFmtId="43" fontId="13" fillId="62" borderId="10" xfId="1" applyFont="1" applyFill="1" applyBorder="1" applyAlignment="1">
      <alignment horizontal="center" vertical="center" wrapText="1"/>
    </xf>
    <xf numFmtId="0" fontId="101" fillId="0" borderId="10" xfId="0" applyFont="1" applyFill="1" applyBorder="1" applyAlignment="1">
      <alignment horizontal="center"/>
    </xf>
    <xf numFmtId="1" fontId="101" fillId="0" borderId="10" xfId="33" applyNumberFormat="1" applyFont="1" applyFill="1" applyBorder="1" applyAlignment="1">
      <alignment horizontal="center"/>
    </xf>
    <xf numFmtId="14" fontId="101" fillId="0" borderId="10" xfId="0" applyNumberFormat="1" applyFont="1" applyFill="1" applyBorder="1" applyAlignment="1">
      <alignment horizontal="center"/>
    </xf>
    <xf numFmtId="179" fontId="101" fillId="0" borderId="10" xfId="0" applyNumberFormat="1" applyFont="1" applyFill="1" applyBorder="1" applyAlignment="1">
      <alignment horizontal="center"/>
    </xf>
    <xf numFmtId="180" fontId="101" fillId="0" borderId="10" xfId="1" applyNumberFormat="1" applyFont="1" applyFill="1" applyBorder="1" applyAlignment="1">
      <alignment horizontal="center"/>
    </xf>
    <xf numFmtId="3" fontId="101" fillId="0" borderId="10" xfId="33" applyNumberFormat="1" applyFont="1" applyFill="1" applyBorder="1" applyAlignment="1">
      <alignment horizontal="center"/>
    </xf>
    <xf numFmtId="0" fontId="88" fillId="0" borderId="10" xfId="0" applyFont="1" applyFill="1" applyBorder="1" applyAlignment="1">
      <alignment horizontal="left"/>
    </xf>
  </cellXfs>
  <cellStyles count="2520">
    <cellStyle name="?? 2" xfId="149" xr:uid="{00000000-0005-0000-0000-000000000000}"/>
    <cellStyle name="?? 3" xfId="150" xr:uid="{00000000-0005-0000-0000-000001000000}"/>
    <cellStyle name="??&amp;O?&amp;H?_x0008__x000f__x0007_?_x0007__x0001__x0001_" xfId="151" xr:uid="{00000000-0005-0000-0000-000002000000}"/>
    <cellStyle name="??&amp;O?&amp;H?_x0008_??_x0007__x0001__x0001_" xfId="152" xr:uid="{00000000-0005-0000-0000-000003000000}"/>
    <cellStyle name="??&amp;O?&amp;H?_x0008__x000f__x0007_?_x0007__x0001__x0001__Market Performance" xfId="153" xr:uid="{00000000-0005-0000-0000-000004000000}"/>
    <cellStyle name="??? 2" xfId="154" xr:uid="{00000000-0005-0000-0000-000005000000}"/>
    <cellStyle name="???? ??" xfId="155" xr:uid="{00000000-0005-0000-0000-000006000000}"/>
    <cellStyle name="???? [0.00]_PRODUCT DETAIL Q1" xfId="156" xr:uid="{00000000-0005-0000-0000-000007000000}"/>
    <cellStyle name="???? 2" xfId="157" xr:uid="{00000000-0005-0000-0000-000008000000}"/>
    <cellStyle name="???? 2 2" xfId="824" xr:uid="{00000000-0005-0000-0000-000009000000}"/>
    <cellStyle name="???? 2 2 2" xfId="858" xr:uid="{00000000-0005-0000-0000-00000A000000}"/>
    <cellStyle name="???? 2 2 2 2" xfId="1178" xr:uid="{00000000-0005-0000-0000-00000B000000}"/>
    <cellStyle name="???? 2 2 2 2 2" xfId="1655" xr:uid="{00000000-0005-0000-0000-00000C000000}"/>
    <cellStyle name="???? 2 2 2 2 2 2" xfId="2428" xr:uid="{00000000-0005-0000-0000-00000D000000}"/>
    <cellStyle name="???? 2 2 2 2 3" xfId="1453" xr:uid="{00000000-0005-0000-0000-00000E000000}"/>
    <cellStyle name="???? 2 2 2 2 3 2" xfId="2228" xr:uid="{00000000-0005-0000-0000-00000F000000}"/>
    <cellStyle name="???? 2 2 2 2 4" xfId="1981" xr:uid="{00000000-0005-0000-0000-000010000000}"/>
    <cellStyle name="???? 2 2 2 3" xfId="975" xr:uid="{00000000-0005-0000-0000-000011000000}"/>
    <cellStyle name="???? 2 2 2 3 2" xfId="1578" xr:uid="{00000000-0005-0000-0000-000012000000}"/>
    <cellStyle name="???? 2 2 2 3 2 2" xfId="2351" xr:uid="{00000000-0005-0000-0000-000013000000}"/>
    <cellStyle name="???? 2 2 2 3 3" xfId="1808" xr:uid="{00000000-0005-0000-0000-000014000000}"/>
    <cellStyle name="???? 2 2 2 4" xfId="1547" xr:uid="{00000000-0005-0000-0000-000015000000}"/>
    <cellStyle name="???? 2 2 2 4 2" xfId="2321" xr:uid="{00000000-0005-0000-0000-000016000000}"/>
    <cellStyle name="???? 2 2 2 5" xfId="1376" xr:uid="{00000000-0005-0000-0000-000017000000}"/>
    <cellStyle name="???? 2 2 2 5 2" xfId="2151" xr:uid="{00000000-0005-0000-0000-000018000000}"/>
    <cellStyle name="???? 2 2 2 6" xfId="1768" xr:uid="{00000000-0005-0000-0000-000019000000}"/>
    <cellStyle name="???? 2 2 3" xfId="1077" xr:uid="{00000000-0005-0000-0000-00001A000000}"/>
    <cellStyle name="???? 2 2 3 2" xfId="1252" xr:uid="{00000000-0005-0000-0000-00001B000000}"/>
    <cellStyle name="???? 2 2 3 2 2" xfId="1685" xr:uid="{00000000-0005-0000-0000-00001C000000}"/>
    <cellStyle name="???? 2 2 3 2 2 2" xfId="2458" xr:uid="{00000000-0005-0000-0000-00001D000000}"/>
    <cellStyle name="???? 2 2 3 2 3" xfId="1483" xr:uid="{00000000-0005-0000-0000-00001E000000}"/>
    <cellStyle name="???? 2 2 3 2 3 2" xfId="2258" xr:uid="{00000000-0005-0000-0000-00001F000000}"/>
    <cellStyle name="???? 2 2 3 2 4" xfId="2055" xr:uid="{00000000-0005-0000-0000-000020000000}"/>
    <cellStyle name="???? 2 2 3 3" xfId="1608" xr:uid="{00000000-0005-0000-0000-000021000000}"/>
    <cellStyle name="???? 2 2 3 3 2" xfId="2381" xr:uid="{00000000-0005-0000-0000-000022000000}"/>
    <cellStyle name="???? 2 2 3 4" xfId="1406" xr:uid="{00000000-0005-0000-0000-000023000000}"/>
    <cellStyle name="???? 2 2 3 4 2" xfId="2181" xr:uid="{00000000-0005-0000-0000-000024000000}"/>
    <cellStyle name="???? 2 2 3 5" xfId="1880" xr:uid="{00000000-0005-0000-0000-000025000000}"/>
    <cellStyle name="???? 2 2 4" xfId="1151" xr:uid="{00000000-0005-0000-0000-000026000000}"/>
    <cellStyle name="???? 2 2 4 2" xfId="1638" xr:uid="{00000000-0005-0000-0000-000027000000}"/>
    <cellStyle name="???? 2 2 4 2 2" xfId="2411" xr:uid="{00000000-0005-0000-0000-000028000000}"/>
    <cellStyle name="???? 2 2 4 3" xfId="1436" xr:uid="{00000000-0005-0000-0000-000029000000}"/>
    <cellStyle name="???? 2 2 4 3 2" xfId="2211" xr:uid="{00000000-0005-0000-0000-00002A000000}"/>
    <cellStyle name="???? 2 2 4 4" xfId="1954" xr:uid="{00000000-0005-0000-0000-00002B000000}"/>
    <cellStyle name="???? 2 2 5" xfId="917" xr:uid="{00000000-0005-0000-0000-00002C000000}"/>
    <cellStyle name="???? 2 2 5 2" xfId="1561" xr:uid="{00000000-0005-0000-0000-00002D000000}"/>
    <cellStyle name="???? 2 2 5 2 2" xfId="2334" xr:uid="{00000000-0005-0000-0000-00002E000000}"/>
    <cellStyle name="???? 2 2 5 3" xfId="1784" xr:uid="{00000000-0005-0000-0000-00002F000000}"/>
    <cellStyle name="???? 2 2 6" xfId="1519" xr:uid="{00000000-0005-0000-0000-000030000000}"/>
    <cellStyle name="???? 2 2 6 2" xfId="2293" xr:uid="{00000000-0005-0000-0000-000031000000}"/>
    <cellStyle name="???? 2 2 7" xfId="1359" xr:uid="{00000000-0005-0000-0000-000032000000}"/>
    <cellStyle name="???? 2 2 7 2" xfId="2134" xr:uid="{00000000-0005-0000-0000-000033000000}"/>
    <cellStyle name="???? 2 2 8" xfId="1734" xr:uid="{00000000-0005-0000-0000-000034000000}"/>
    <cellStyle name="???? 2 3" xfId="841" xr:uid="{00000000-0005-0000-0000-000035000000}"/>
    <cellStyle name="???? 2 3 2" xfId="1533" xr:uid="{00000000-0005-0000-0000-000036000000}"/>
    <cellStyle name="???? 2 3 2 2" xfId="2307" xr:uid="{00000000-0005-0000-0000-000037000000}"/>
    <cellStyle name="???? 2 3 3" xfId="1751" xr:uid="{00000000-0005-0000-0000-000038000000}"/>
    <cellStyle name="?????" xfId="158" xr:uid="{00000000-0005-0000-0000-000039000000}"/>
    <cellStyle name="???????_TV Cost Data" xfId="159" xr:uid="{00000000-0005-0000-0000-00003A000000}"/>
    <cellStyle name="????_OCN Feature List Revised" xfId="160" xr:uid="{00000000-0005-0000-0000-00003B000000}"/>
    <cellStyle name="????0" xfId="161" xr:uid="{00000000-0005-0000-0000-00003C000000}"/>
    <cellStyle name="???0" xfId="162" xr:uid="{00000000-0005-0000-0000-00003D000000}"/>
    <cellStyle name="??_  ?  ?  " xfId="163" xr:uid="{00000000-0005-0000-0000-00003E000000}"/>
    <cellStyle name="_@Billets benchmark Portugal" xfId="164" xr:uid="{00000000-0005-0000-0000-00003F000000}"/>
    <cellStyle name="_@Billets benchmark Portugal_adidas China savings TV" xfId="165" xr:uid="{00000000-0005-0000-0000-000040000000}"/>
    <cellStyle name="_@Billets benchmark Portugal_adidas China savings TV_Adidas China savings TV_Rohan" xfId="166" xr:uid="{00000000-0005-0000-0000-000041000000}"/>
    <cellStyle name="_0- New added value summary template_Korea" xfId="167" xr:uid="{00000000-0005-0000-0000-000042000000}"/>
    <cellStyle name="_0- New added value summary template_Korea 2" xfId="168" xr:uid="{00000000-0005-0000-0000-000043000000}"/>
    <cellStyle name="_0- New added value summary template_Korea_~9689520" xfId="169" xr:uid="{00000000-0005-0000-0000-000044000000}"/>
    <cellStyle name="_0- New added value summary template_Korea_Adidas China savings TV_Rohan" xfId="170" xr:uid="{00000000-0005-0000-0000-000045000000}"/>
    <cellStyle name="_0- New added value summary template_Korea_China savings &amp; benchmark update(Jan.28,08)" xfId="171" xr:uid="{00000000-0005-0000-0000-000046000000}"/>
    <cellStyle name="_0- New added value summary template_Korea_China savings &amp; benchmarking - reviewed Q4" xfId="172" xr:uid="{00000000-0005-0000-0000-000047000000}"/>
    <cellStyle name="_0- New added value summary template_Korea_China savings &amp; benchmarkv-Oct.update - reviewed" xfId="173" xr:uid="{00000000-0005-0000-0000-000048000000}"/>
    <cellStyle name="_0- New added value summary template_Korea_China savings &amp; benchmarkv-Oct.update - reviewed_adidas China savings TV" xfId="174" xr:uid="{00000000-0005-0000-0000-000049000000}"/>
    <cellStyle name="_0- New added value summary template_Korea_China savings &amp; benchmarkv-Oct.update - reviewed_adidas China savings TV_Adidas China savings TV_Rohan" xfId="175" xr:uid="{00000000-0005-0000-0000-00004A000000}"/>
    <cellStyle name="_0- New added value summary template_Korea_Italy saving ricevuto da Int." xfId="176" xr:uid="{00000000-0005-0000-0000-00004B000000}"/>
    <cellStyle name="_0- New added value summary template_Korea_Market Performance" xfId="177" xr:uid="{00000000-0005-0000-0000-00004C000000}"/>
    <cellStyle name="_2005 Billets benchmark Cyprus  Euro" xfId="178" xr:uid="{00000000-0005-0000-0000-00004D000000}"/>
    <cellStyle name="_2005_2006online Billets benchmark template" xfId="179" xr:uid="{00000000-0005-0000-0000-00004E000000}"/>
    <cellStyle name="_2005_2006online Billets benchmark template_adidas China savings TV" xfId="180" xr:uid="{00000000-0005-0000-0000-00004F000000}"/>
    <cellStyle name="_2005_2006online Billets benchmark template_adidas China savings TV_Adidas China savings TV_Rohan" xfId="181" xr:uid="{00000000-0005-0000-0000-000050000000}"/>
    <cellStyle name="_2006 Billets benchmark template Euro" xfId="182" xr:uid="{00000000-0005-0000-0000-000051000000}"/>
    <cellStyle name="_2006 Billets benchmark template Euro_adidas China savings TV" xfId="183" xr:uid="{00000000-0005-0000-0000-000052000000}"/>
    <cellStyle name="_2006 Billets benchmark template Euro_adidas China savings TV_Adidas China savings TV_Rohan" xfId="184" xr:uid="{00000000-0005-0000-0000-000053000000}"/>
    <cellStyle name="_2007 Billets benchmark Cyprus Euro" xfId="185" xr:uid="{00000000-0005-0000-0000-000054000000}"/>
    <cellStyle name="_2007 Billets benchmark Cyprus Euro_adidas China savings TV" xfId="186" xr:uid="{00000000-0005-0000-0000-000055000000}"/>
    <cellStyle name="_2007 Billets benchmark Cyprus Euro_adidas China savings TV_Adidas China savings TV_Rohan" xfId="187" xr:uid="{00000000-0005-0000-0000-000056000000}"/>
    <cellStyle name="_2007 Billets benchmark Poland Euro 06 2007" xfId="188" xr:uid="{00000000-0005-0000-0000-000057000000}"/>
    <cellStyle name="_2007 Billets benchmark Poland Euro 06 2007_adidas China savings TV" xfId="189" xr:uid="{00000000-0005-0000-0000-000058000000}"/>
    <cellStyle name="_2007 Billets benchmark Poland Euro 06 2007_adidas China savings TV_Adidas China savings TV_Rohan" xfId="190" xr:uid="{00000000-0005-0000-0000-000059000000}"/>
    <cellStyle name="_2007 Billets benchmark Slovenia Euro" xfId="191" xr:uid="{00000000-0005-0000-0000-00005A000000}"/>
    <cellStyle name="_2007 Billets benchmark Slovenia Euro 27 7 2007" xfId="192" xr:uid="{00000000-0005-0000-0000-00005B000000}"/>
    <cellStyle name="_2007 Billets benchmark Slovenia Euro 27 7 2007_adidas China savings TV" xfId="193" xr:uid="{00000000-0005-0000-0000-00005C000000}"/>
    <cellStyle name="_2007 Billets benchmark Slovenia Euro 27 7 2007_adidas China savings TV_Adidas China savings TV_Rohan" xfId="194" xr:uid="{00000000-0005-0000-0000-00005D000000}"/>
    <cellStyle name="_2007 Billets benchmark Slovenia Euro_adidas China savings TV" xfId="195" xr:uid="{00000000-0005-0000-0000-00005E000000}"/>
    <cellStyle name="_2007 Billets benchmark Slovenia Euro_adidas China savings TV_Adidas China savings TV_Rohan" xfId="196" xr:uid="{00000000-0005-0000-0000-00005F000000}"/>
    <cellStyle name="_2007 Billets benchmark template Euro" xfId="197" xr:uid="{00000000-0005-0000-0000-000060000000}"/>
    <cellStyle name="_2007 Billets benchmark template Euro 200807" xfId="198" xr:uid="{00000000-0005-0000-0000-000061000000}"/>
    <cellStyle name="_2007 Billets benchmark template Euro INTERNET" xfId="199" xr:uid="{00000000-0005-0000-0000-000062000000}"/>
    <cellStyle name="_2007 Billets benchmark template Euro_030507" xfId="200" xr:uid="{00000000-0005-0000-0000-000063000000}"/>
    <cellStyle name="_2007 Billets benchmark template Euro_030507_adidas China savings TV" xfId="201" xr:uid="{00000000-0005-0000-0000-000064000000}"/>
    <cellStyle name="_2007 Billets benchmark template Euro_030507_adidas China savings TV_Adidas China savings TV_Rohan" xfId="202" xr:uid="{00000000-0005-0000-0000-000065000000}"/>
    <cellStyle name="_2007 Billets benchmark template Euro_240707" xfId="203" xr:uid="{00000000-0005-0000-0000-000066000000}"/>
    <cellStyle name="_2007 Billets benchmark template Euro_240707_adidas China savings TV" xfId="204" xr:uid="{00000000-0005-0000-0000-000067000000}"/>
    <cellStyle name="_2007 Billets benchmark template Euro_240707_adidas China savings TV_Adidas China savings TV_Rohan" xfId="205" xr:uid="{00000000-0005-0000-0000-000068000000}"/>
    <cellStyle name="_2007 Billets benchmark template Euro_adidas China savings TV" xfId="206" xr:uid="{00000000-0005-0000-0000-000069000000}"/>
    <cellStyle name="_2007 Billets benchmark template Euro_adidas China savings TV_Adidas China savings TV_Rohan" xfId="207" xr:uid="{00000000-0005-0000-0000-00006A000000}"/>
    <cellStyle name="_2007 Billets benchmark template Euro_Czech" xfId="208" xr:uid="{00000000-0005-0000-0000-00006B000000}"/>
    <cellStyle name="_2007 Billets benchmark template Euro_Czech_adidas China savings TV" xfId="209" xr:uid="{00000000-0005-0000-0000-00006C000000}"/>
    <cellStyle name="_2007 Billets benchmark template Euro_Czech_adidas China savings TV_Adidas China savings TV_Rohan" xfId="210" xr:uid="{00000000-0005-0000-0000-00006D000000}"/>
    <cellStyle name="_2007 Billets benchmark template Euro_Hungary_Q2" xfId="211" xr:uid="{00000000-0005-0000-0000-00006E000000}"/>
    <cellStyle name="_2007 Billets benchmark template Euro_Hungary_Q2_adidas China savings TV" xfId="212" xr:uid="{00000000-0005-0000-0000-00006F000000}"/>
    <cellStyle name="_2007 Billets benchmark template Euro_Hungary_Q2_adidas China savings TV_Adidas China savings TV_Rohan" xfId="213" xr:uid="{00000000-0005-0000-0000-000070000000}"/>
    <cellStyle name="_2007 Billets benchmark template Euro_Lithuania" xfId="214" xr:uid="{00000000-0005-0000-0000-000071000000}"/>
    <cellStyle name="_2007 Billets benchmark template Euro_Lithuania_adidas China savings TV" xfId="215" xr:uid="{00000000-0005-0000-0000-000072000000}"/>
    <cellStyle name="_2007 Billets benchmark template Euro_Lithuania_adidas China savings TV_Adidas China savings TV_Rohan" xfId="216" xr:uid="{00000000-0005-0000-0000-000073000000}"/>
    <cellStyle name="_2007 Billets benchmark template USD" xfId="217" xr:uid="{00000000-0005-0000-0000-000074000000}"/>
    <cellStyle name="_2007 Billets benchmark template USD_adidas China savings TV" xfId="218" xr:uid="{00000000-0005-0000-0000-000075000000}"/>
    <cellStyle name="_2007 Billets benchmark template USD_adidas China savings TV_Adidas China savings TV_Rohan" xfId="219" xr:uid="{00000000-0005-0000-0000-000076000000}"/>
    <cellStyle name="_2007 Billets benchmark template USD_Korea all" xfId="220" xr:uid="{00000000-0005-0000-0000-000077000000}"/>
    <cellStyle name="_2007 Billets benchmark template USD_Korea all 2" xfId="221" xr:uid="{00000000-0005-0000-0000-000078000000}"/>
    <cellStyle name="_2007 Billets benchmark template USD_Korea all_~9689520" xfId="222" xr:uid="{00000000-0005-0000-0000-000079000000}"/>
    <cellStyle name="_2007 Billets benchmark template USD_Korea all_Adidas China savings TV_Rohan" xfId="223" xr:uid="{00000000-0005-0000-0000-00007A000000}"/>
    <cellStyle name="_2007 Billets benchmark template USD_Korea all_China savings &amp; benchmark update(Jan.28,08)" xfId="224" xr:uid="{00000000-0005-0000-0000-00007B000000}"/>
    <cellStyle name="_2007 Billets benchmark template USD_Korea all_China savings &amp; benchmarking - reviewed Q4" xfId="225" xr:uid="{00000000-0005-0000-0000-00007C000000}"/>
    <cellStyle name="_2007 Billets benchmark template USD_Korea all_China savings &amp; benchmarkv-Oct.update - reviewed" xfId="226" xr:uid="{00000000-0005-0000-0000-00007D000000}"/>
    <cellStyle name="_2007 Billets benchmark template USD_Korea all_China savings &amp; benchmarkv-Oct.update - reviewed_adidas China savings TV" xfId="227" xr:uid="{00000000-0005-0000-0000-00007E000000}"/>
    <cellStyle name="_2007 Billets benchmark template USD_Korea all_China savings &amp; benchmarkv-Oct.update - reviewed_adidas China savings TV_Adidas China savings TV_Rohan" xfId="228" xr:uid="{00000000-0005-0000-0000-00007F000000}"/>
    <cellStyle name="_2007 Billets benchmark template USD_Korea all_Italy saving ricevuto da Int." xfId="229" xr:uid="{00000000-0005-0000-0000-000080000000}"/>
    <cellStyle name="_2007 Billets benchmark template USD_Korea all_Market Performance" xfId="230" xr:uid="{00000000-0005-0000-0000-000081000000}"/>
    <cellStyle name="_2007 Billets benchmark template USD-Philippines" xfId="231" xr:uid="{00000000-0005-0000-0000-000082000000}"/>
    <cellStyle name="_2007 Billets benchmark template_Indonesia USD email" xfId="232" xr:uid="{00000000-0005-0000-0000-000083000000}"/>
    <cellStyle name="_2007 Billets benchmark template_Indonesia USD email_adidas China savings TV" xfId="233" xr:uid="{00000000-0005-0000-0000-000084000000}"/>
    <cellStyle name="_2007 Billets benchmark template_Indonesia USD email_adidas China savings TV_Adidas China savings TV_Rohan" xfId="234" xr:uid="{00000000-0005-0000-0000-000085000000}"/>
    <cellStyle name="_2007 Billets benchmark_SVK_in Euro" xfId="235" xr:uid="{00000000-0005-0000-0000-000086000000}"/>
    <cellStyle name="_2007 Billets benchmark_SVK_in Euro 270707" xfId="236" xr:uid="{00000000-0005-0000-0000-000087000000}"/>
    <cellStyle name="_2007 Billets benchmark_SVK_in Euro 270707_adidas China savings TV" xfId="237" xr:uid="{00000000-0005-0000-0000-000088000000}"/>
    <cellStyle name="_2007 Billets benchmark_SVK_in Euro 270707_adidas China savings TV_Adidas China savings TV_Rohan" xfId="238" xr:uid="{00000000-0005-0000-0000-000089000000}"/>
    <cellStyle name="_2007 Billets benchmark_SVK_in Euro_adidas China savings TV" xfId="239" xr:uid="{00000000-0005-0000-0000-00008A000000}"/>
    <cellStyle name="_2007 Billets benchmark_SVK_in Euro_adidas China savings TV_Adidas China savings TV_Rohan" xfId="240" xr:uid="{00000000-0005-0000-0000-00008B000000}"/>
    <cellStyle name="_2007 Billets benchmark-China to regional (Apr 29'07)" xfId="241" xr:uid="{00000000-0005-0000-0000-00008C000000}"/>
    <cellStyle name="_2007 Billets benchmark-China to regional (Apr 29'07) 2" xfId="242" xr:uid="{00000000-0005-0000-0000-00008D000000}"/>
    <cellStyle name="_2007 Billets benchmark-China to regional (Apr 29'07)_~9689520" xfId="243" xr:uid="{00000000-0005-0000-0000-00008E000000}"/>
    <cellStyle name="_2007 Billets benchmark-China to regional (Apr 29'07)_Adidas China savings TV_Rohan" xfId="244" xr:uid="{00000000-0005-0000-0000-00008F000000}"/>
    <cellStyle name="_2007 Billets benchmark-China to regional (Apr 29'07)_China savings &amp; benchmark update(Jan.28,08)" xfId="245" xr:uid="{00000000-0005-0000-0000-000090000000}"/>
    <cellStyle name="_2007 Billets benchmark-China to regional (Apr 29'07)_China savings &amp; benchmarking - reviewed Q4" xfId="246" xr:uid="{00000000-0005-0000-0000-000091000000}"/>
    <cellStyle name="_2007 Billets benchmark-China to regional (Apr 29'07)_China savings &amp; benchmarkv-Oct.update - reviewed" xfId="247" xr:uid="{00000000-0005-0000-0000-000092000000}"/>
    <cellStyle name="_2007 Billets benchmark-China to regional (Apr 29'07)_China savings &amp; benchmarkv-Oct.update - reviewed_adidas China savings TV" xfId="248" xr:uid="{00000000-0005-0000-0000-000093000000}"/>
    <cellStyle name="_2007 Billets benchmark-China to regional (Apr 29'07)_China savings &amp; benchmarkv-Oct.update - reviewed_adidas China savings TV_Adidas China savings TV_Rohan" xfId="249" xr:uid="{00000000-0005-0000-0000-000094000000}"/>
    <cellStyle name="_2007 Billets benchmark-China to regional (Apr 29'07)_Italy saving ricevuto da Int." xfId="250" xr:uid="{00000000-0005-0000-0000-000095000000}"/>
    <cellStyle name="_2007 Billets benchmark-China to regional (Apr 29'07)_Market Performance" xfId="251" xr:uid="{00000000-0005-0000-0000-000096000000}"/>
    <cellStyle name="_2007 Billets Summary-China to regional (Aug 1'07)" xfId="252" xr:uid="{00000000-0005-0000-0000-000097000000}"/>
    <cellStyle name="_2007 Billets Summary-China to regional (Aug 1'07) 2" xfId="253" xr:uid="{00000000-0005-0000-0000-000098000000}"/>
    <cellStyle name="_2007 Billets Summary-China to regional (Aug 1'07)_~9689520" xfId="254" xr:uid="{00000000-0005-0000-0000-000099000000}"/>
    <cellStyle name="_2007 Billets Summary-China to regional (Aug 1'07)_Adidas China savings TV_Rohan" xfId="255" xr:uid="{00000000-0005-0000-0000-00009A000000}"/>
    <cellStyle name="_2007 Billets Summary-China to regional (Aug 1'07)_China savings &amp; benchmark update(Jan.28,08)" xfId="256" xr:uid="{00000000-0005-0000-0000-00009B000000}"/>
    <cellStyle name="_2007 Billets Summary-China to regional (Aug 1'07)_China savings &amp; benchmarking - reviewed Q4" xfId="257" xr:uid="{00000000-0005-0000-0000-00009C000000}"/>
    <cellStyle name="_2007 Billets Summary-China to regional (Aug 1'07)_China savings &amp; benchmarkv-Oct.update - reviewed" xfId="258" xr:uid="{00000000-0005-0000-0000-00009D000000}"/>
    <cellStyle name="_2007 Billets Summary-China to regional (Aug 1'07)_China savings &amp; benchmarkv-Oct.update - reviewed_adidas China savings TV" xfId="259" xr:uid="{00000000-0005-0000-0000-00009E000000}"/>
    <cellStyle name="_2007 Billets Summary-China to regional (Aug 1'07)_China savings &amp; benchmarkv-Oct.update - reviewed_adidas China savings TV_Adidas China savings TV_Rohan" xfId="260" xr:uid="{00000000-0005-0000-0000-00009F000000}"/>
    <cellStyle name="_2007 Billets Summary-China to regional (Aug 1'07)_Italy saving ricevuto da Int." xfId="261" xr:uid="{00000000-0005-0000-0000-0000A0000000}"/>
    <cellStyle name="_2007 Billets Summary-China to regional (Aug 1'07)_Market Performance" xfId="262" xr:uid="{00000000-0005-0000-0000-0000A1000000}"/>
    <cellStyle name="_2007 Billets Summary-China to regional (May 9'07)" xfId="263" xr:uid="{00000000-0005-0000-0000-0000A2000000}"/>
    <cellStyle name="_2007 Billets Summary-China to regional (May 9'07) 2" xfId="264" xr:uid="{00000000-0005-0000-0000-0000A3000000}"/>
    <cellStyle name="_2007 Billets Summary-China to regional (May 9'07)_~9689520" xfId="265" xr:uid="{00000000-0005-0000-0000-0000A4000000}"/>
    <cellStyle name="_2007 Billets Summary-China to regional (May 9'07)_Adidas China savings TV_Rohan" xfId="266" xr:uid="{00000000-0005-0000-0000-0000A5000000}"/>
    <cellStyle name="_2007 Billets Summary-China to regional (May 9'07)_China savings &amp; benchmark update(Jan.28,08)" xfId="267" xr:uid="{00000000-0005-0000-0000-0000A6000000}"/>
    <cellStyle name="_2007 Billets Summary-China to regional (May 9'07)_China savings &amp; benchmarking - reviewed Q4" xfId="268" xr:uid="{00000000-0005-0000-0000-0000A7000000}"/>
    <cellStyle name="_2007 Billets Summary-China to regional (May 9'07)_China savings &amp; benchmarkv-Oct.update - reviewed" xfId="269" xr:uid="{00000000-0005-0000-0000-0000A8000000}"/>
    <cellStyle name="_2007 Billets Summary-China to regional (May 9'07)_China savings &amp; benchmarkv-Oct.update - reviewed_adidas China savings TV" xfId="270" xr:uid="{00000000-0005-0000-0000-0000A9000000}"/>
    <cellStyle name="_2007 Billets Summary-China to regional (May 9'07)_China savings &amp; benchmarkv-Oct.update - reviewed_adidas China savings TV_Adidas China savings TV_Rohan" xfId="271" xr:uid="{00000000-0005-0000-0000-0000AA000000}"/>
    <cellStyle name="_2007 Billets Summary-China to regional (May 9'07)_Italy saving ricevuto da Int." xfId="272" xr:uid="{00000000-0005-0000-0000-0000AB000000}"/>
    <cellStyle name="_2007 Billets Summary-China to regional (May 9'07)_Market Performance" xfId="273" xr:uid="{00000000-0005-0000-0000-0000AC000000}"/>
    <cellStyle name="_added value healthcheck 140907" xfId="274" xr:uid="{00000000-0005-0000-0000-0000AD000000}"/>
    <cellStyle name="_added value healthcheck 140907_adidas China savings TV" xfId="275" xr:uid="{00000000-0005-0000-0000-0000AE000000}"/>
    <cellStyle name="_added value healthcheck 140907_adidas China savings TV_Adidas China savings TV_Rohan" xfId="276" xr:uid="{00000000-0005-0000-0000-0000AF000000}"/>
    <cellStyle name="_added value savings template Q1-Q2 11.07.07" xfId="277" xr:uid="{00000000-0005-0000-0000-0000B0000000}"/>
    <cellStyle name="_added value savings template Q1-Q2 11.07.07_adidas China savings TV" xfId="278" xr:uid="{00000000-0005-0000-0000-0000B1000000}"/>
    <cellStyle name="_added value savings template Q1-Q2 11.07.07_adidas China savings TV_Adidas China savings TV_Rohan" xfId="279" xr:uid="{00000000-0005-0000-0000-0000B2000000}"/>
    <cellStyle name="_adidas China savings TV" xfId="280" xr:uid="{00000000-0005-0000-0000-0000B3000000}"/>
    <cellStyle name="_adidas China savings TV_Adidas China savings TV_Rohan" xfId="281" xr:uid="{00000000-0005-0000-0000-0000B4000000}"/>
    <cellStyle name="_APAC Q1 2007 Added Value Savings (Aug 07) rev jac" xfId="282" xr:uid="{00000000-0005-0000-0000-0000B5000000}"/>
    <cellStyle name="_APAC Q1 2007 Added Value Savings (Aug 07) rev jac_adidas China savings TV" xfId="283" xr:uid="{00000000-0005-0000-0000-0000B6000000}"/>
    <cellStyle name="_APAC Q1 2007 Added Value Savings (Aug 07) rev jac_adidas China savings TV_Adidas China savings TV_Rohan" xfId="284" xr:uid="{00000000-0005-0000-0000-0000B7000000}"/>
    <cellStyle name="_APAC Q2 2007 Added Value Savings (Sept 07 Final) GLOBAL rev jac" xfId="285" xr:uid="{00000000-0005-0000-0000-0000B8000000}"/>
    <cellStyle name="_APAC Q2 2007 Added Value Savings (Sept 07 Final) GLOBAL rev jac 2" xfId="286" xr:uid="{00000000-0005-0000-0000-0000B9000000}"/>
    <cellStyle name="_APAC Q2 2007 Added Value Savings (Sept 07 Final) GLOBAL rev jac_~9689520" xfId="287" xr:uid="{00000000-0005-0000-0000-0000BA000000}"/>
    <cellStyle name="_APAC Q2 2007 Added Value Savings (Sept 07 Final) GLOBAL rev jac_Adidas China savings TV_Rohan" xfId="288" xr:uid="{00000000-0005-0000-0000-0000BB000000}"/>
    <cellStyle name="_APAC Q2 2007 Added Value Savings (Sept 07 Final) GLOBAL rev jac_China savings &amp; benchmark update(Jan.28,08)" xfId="289" xr:uid="{00000000-0005-0000-0000-0000BC000000}"/>
    <cellStyle name="_APAC Q2 2007 Added Value Savings (Sept 07 Final) GLOBAL rev jac_China savings &amp; benchmarking - reviewed Q4" xfId="290" xr:uid="{00000000-0005-0000-0000-0000BD000000}"/>
    <cellStyle name="_APAC Q2 2007 Added Value Savings (Sept 07 Final) GLOBAL rev jac_China savings &amp; benchmarkv-Oct.update - reviewed" xfId="291" xr:uid="{00000000-0005-0000-0000-0000BE000000}"/>
    <cellStyle name="_APAC Q2 2007 Added Value Savings (Sept 07 Final) GLOBAL rev jac_China savings &amp; benchmarkv-Oct.update - reviewed_adidas China savings TV" xfId="292" xr:uid="{00000000-0005-0000-0000-0000BF000000}"/>
    <cellStyle name="_APAC Q2 2007 Added Value Savings (Sept 07 Final) GLOBAL rev jac_China savings &amp; benchmarkv-Oct.update - reviewed_adidas China savings TV_Adidas China savings TV_Rohan" xfId="293" xr:uid="{00000000-0005-0000-0000-0000C0000000}"/>
    <cellStyle name="_APAC Q2 2007 Added Value Savings (Sept 07 Final) GLOBAL rev jac_Italy saving ricevuto da Int." xfId="294" xr:uid="{00000000-0005-0000-0000-0000C1000000}"/>
    <cellStyle name="_APAC Q2 2007 Added Value Savings (Sept 07 Final) GLOBAL rev jac_Market Performance" xfId="295" xr:uid="{00000000-0005-0000-0000-0000C2000000}"/>
    <cellStyle name="_Area Nordic added value savings template Q1-Q2 10.08.07" xfId="296" xr:uid="{00000000-0005-0000-0000-0000C3000000}"/>
    <cellStyle name="_Area Nordic added value savings template Q1-Q2 10.08.07_adidas China savings TV" xfId="297" xr:uid="{00000000-0005-0000-0000-0000C4000000}"/>
    <cellStyle name="_Area Nordic added value savings template Q1-Q2 10.08.07_adidas China savings TV_Adidas China savings TV_Rohan" xfId="298" xr:uid="{00000000-0005-0000-0000-0000C5000000}"/>
    <cellStyle name="_Argentina 2007 Billets benchmark template USD" xfId="299" xr:uid="{00000000-0005-0000-0000-0000C6000000}"/>
    <cellStyle name="_Argentina 2007 Billets benchmark template USD ORIGINAL" xfId="300" xr:uid="{00000000-0005-0000-0000-0000C7000000}"/>
    <cellStyle name="_Argentina 2007 Billets benchmark template USD ORIGINAL_adidas China savings TV" xfId="301" xr:uid="{00000000-0005-0000-0000-0000C8000000}"/>
    <cellStyle name="_Argentina 2007 Billets benchmark template USD ORIGINAL_adidas China savings TV_Adidas China savings TV_Rohan" xfId="302" xr:uid="{00000000-0005-0000-0000-0000C9000000}"/>
    <cellStyle name="_Argentina 2007 Billets benchmark template USD_adidas China savings TV" xfId="303" xr:uid="{00000000-0005-0000-0000-0000CA000000}"/>
    <cellStyle name="_Argentina 2007 Billets benchmark template USD_adidas China savings TV_Adidas China savings TV_Rohan" xfId="304" xr:uid="{00000000-0005-0000-0000-0000CB000000}"/>
    <cellStyle name="_Austria 2007 Billets benchmark template Euro_260407" xfId="305" xr:uid="{00000000-0005-0000-0000-0000CC000000}"/>
    <cellStyle name="_Austria 2007 Billets benchmark template Euro_260407_adidas China savings TV" xfId="306" xr:uid="{00000000-0005-0000-0000-0000CD000000}"/>
    <cellStyle name="_Austria 2007 Billets benchmark template Euro_260407_adidas China savings TV_Adidas China savings TV_Rohan" xfId="307" xr:uid="{00000000-0005-0000-0000-0000CE000000}"/>
    <cellStyle name="_Austria 2007 Billets benchmark template Euro_Update Juli_272707" xfId="308" xr:uid="{00000000-0005-0000-0000-0000CF000000}"/>
    <cellStyle name="_Austria 2007 Billets benchmark template Euro_Update Juli_272707_adidas China savings TV" xfId="309" xr:uid="{00000000-0005-0000-0000-0000D0000000}"/>
    <cellStyle name="_Austria 2007 Billets benchmark template Euro_Update Juli_272707_adidas China savings TV_Adidas China savings TV_Rohan" xfId="310" xr:uid="{00000000-0005-0000-0000-0000D1000000}"/>
    <cellStyle name="_AUT Billetts_Benchmarking_2005_AUT" xfId="311" xr:uid="{00000000-0005-0000-0000-0000D2000000}"/>
    <cellStyle name="_AUT Billetts_Benchmarking_2005_AUT_adidas China savings TV" xfId="312" xr:uid="{00000000-0005-0000-0000-0000D3000000}"/>
    <cellStyle name="_AUT Billetts_Benchmarking_2005_AUT_adidas China savings TV_Adidas China savings TV_Rohan" xfId="313" xr:uid="{00000000-0005-0000-0000-0000D4000000}"/>
    <cellStyle name="_Belgium Billets benchmark 2005" xfId="314" xr:uid="{00000000-0005-0000-0000-0000D5000000}"/>
    <cellStyle name="_Belgium Billets benchmark 2005_adidas China savings TV" xfId="315" xr:uid="{00000000-0005-0000-0000-0000D6000000}"/>
    <cellStyle name="_Belgium Billets benchmark 2005_adidas China savings TV_Adidas China savings TV_Rohan" xfId="316" xr:uid="{00000000-0005-0000-0000-0000D7000000}"/>
    <cellStyle name="_Belgium Billets benchmark 2007" xfId="317" xr:uid="{00000000-0005-0000-0000-0000D8000000}"/>
    <cellStyle name="_Belgium Billets benchmark 2007_adidas China savings TV" xfId="318" xr:uid="{00000000-0005-0000-0000-0000D9000000}"/>
    <cellStyle name="_Belgium Billets benchmark 2007_adidas China savings TV_Adidas China savings TV_Rohan" xfId="319" xr:uid="{00000000-0005-0000-0000-0000DA000000}"/>
    <cellStyle name="_Billets 2005 benchmarks template Apr 26" xfId="320" xr:uid="{00000000-0005-0000-0000-0000DB000000}"/>
    <cellStyle name="_Billets 2005 benchmarks template Apr 26_adidas China savings TV" xfId="321" xr:uid="{00000000-0005-0000-0000-0000DC000000}"/>
    <cellStyle name="_Billets 2005 benchmarks template Apr 26_adidas China savings TV_Adidas China savings TV_Rohan" xfId="322" xr:uid="{00000000-0005-0000-0000-0000DD000000}"/>
    <cellStyle name="_Billets benchmark -china(Mar 16,2007) to regional" xfId="323" xr:uid="{00000000-0005-0000-0000-0000DE000000}"/>
    <cellStyle name="_Billets benchmark -china(Mar 16,2007) to regional 2" xfId="324" xr:uid="{00000000-0005-0000-0000-0000DF000000}"/>
    <cellStyle name="_Billets benchmark -china(Mar 16,2007) to regional_~9689520" xfId="325" xr:uid="{00000000-0005-0000-0000-0000E0000000}"/>
    <cellStyle name="_Billets benchmark -china(Mar 16,2007) to regional_Adidas China savings TV_Rohan" xfId="326" xr:uid="{00000000-0005-0000-0000-0000E1000000}"/>
    <cellStyle name="_Billets benchmark -china(Mar 16,2007) to regional_China savings &amp; benchmark update(Jan.28,08)" xfId="327" xr:uid="{00000000-0005-0000-0000-0000E2000000}"/>
    <cellStyle name="_Billets benchmark -china(Mar 16,2007) to regional_China savings &amp; benchmarking - reviewed Q4" xfId="328" xr:uid="{00000000-0005-0000-0000-0000E3000000}"/>
    <cellStyle name="_Billets benchmark -china(Mar 16,2007) to regional_China savings &amp; benchmarkv-Oct.update - reviewed" xfId="329" xr:uid="{00000000-0005-0000-0000-0000E4000000}"/>
    <cellStyle name="_Billets benchmark -china(Mar 16,2007) to regional_China savings &amp; benchmarkv-Oct.update - reviewed_adidas China savings TV" xfId="330" xr:uid="{00000000-0005-0000-0000-0000E5000000}"/>
    <cellStyle name="_Billets benchmark -china(Mar 16,2007) to regional_China savings &amp; benchmarkv-Oct.update - reviewed_adidas China savings TV_Adidas China savings TV_Rohan" xfId="331" xr:uid="{00000000-0005-0000-0000-0000E6000000}"/>
    <cellStyle name="_Billets benchmark -china(Mar 16,2007) to regional_Italy saving ricevuto da Int." xfId="332" xr:uid="{00000000-0005-0000-0000-0000E7000000}"/>
    <cellStyle name="_Billets benchmark -china(Mar 16,2007) to regional_Market Performance" xfId="333" xr:uid="{00000000-0005-0000-0000-0000E8000000}"/>
    <cellStyle name="_Billets benchmark Poland Euro 25 04 2007" xfId="334" xr:uid="{00000000-0005-0000-0000-0000E9000000}"/>
    <cellStyle name="_Billets benchmark Poland Euro 25 04 2007_adidas China savings TV" xfId="335" xr:uid="{00000000-0005-0000-0000-0000EA000000}"/>
    <cellStyle name="_Billets benchmark Poland Euro 25 04 2007_adidas China savings TV_Adidas China savings TV_Rohan" xfId="336" xr:uid="{00000000-0005-0000-0000-0000EB000000}"/>
    <cellStyle name="_Billets benchmark template Mar 6" xfId="337" xr:uid="{00000000-0005-0000-0000-0000EC000000}"/>
    <cellStyle name="_Billets benchmark template Mar 6_adidas China savings TV" xfId="338" xr:uid="{00000000-0005-0000-0000-0000ED000000}"/>
    <cellStyle name="_Billets benchmark template Mar 6_adidas China savings TV_Adidas China savings TV_Rohan" xfId="339" xr:uid="{00000000-0005-0000-0000-0000EE000000}"/>
    <cellStyle name="_Billets benchmark template_Germany" xfId="340" xr:uid="{00000000-0005-0000-0000-0000EF000000}"/>
    <cellStyle name="_Billets benchmark template_Germany_adidas China savings TV" xfId="341" xr:uid="{00000000-0005-0000-0000-0000F0000000}"/>
    <cellStyle name="_Billets benchmark template_Germany_adidas China savings TV_Adidas China savings TV_Rohan" xfId="342" xr:uid="{00000000-0005-0000-0000-0000F1000000}"/>
    <cellStyle name="_Billets benchmark Turkey_2005_06 Euro" xfId="343" xr:uid="{00000000-0005-0000-0000-0000F2000000}"/>
    <cellStyle name="_Billets benchmark Turkey_2007 Euro" xfId="344" xr:uid="{00000000-0005-0000-0000-0000F3000000}"/>
    <cellStyle name="_Billets benchmark Turkey_2007 Euro_adidas China savings TV" xfId="345" xr:uid="{00000000-0005-0000-0000-0000F4000000}"/>
    <cellStyle name="_Billets benchmark Turkey_2007 Euro_adidas China savings TV_Adidas China savings TV_Rohan" xfId="346" xr:uid="{00000000-0005-0000-0000-0000F5000000}"/>
    <cellStyle name="_Billetts_Benchmarking_2007_Czech" xfId="347" xr:uid="{00000000-0005-0000-0000-0000F6000000}"/>
    <cellStyle name="_Billetts_Benchmarking_2007_Czech_adidas China savings TV" xfId="348" xr:uid="{00000000-0005-0000-0000-0000F7000000}"/>
    <cellStyle name="_Billetts_Benchmarking_2007_Czech_adidas China savings TV_Adidas China savings TV_Rohan" xfId="349" xr:uid="{00000000-0005-0000-0000-0000F8000000}"/>
    <cellStyle name="_Billetts_Benchmarking_2007_Hungary" xfId="350" xr:uid="{00000000-0005-0000-0000-0000F9000000}"/>
    <cellStyle name="_Billetts_Benchmarking_2007_Hungary_adidas China savings TV" xfId="351" xr:uid="{00000000-0005-0000-0000-0000FA000000}"/>
    <cellStyle name="_Billetts_Benchmarking_2007_Hungary_adidas China savings TV_Adidas China savings TV_Rohan" xfId="352" xr:uid="{00000000-0005-0000-0000-0000FB000000}"/>
    <cellStyle name="_Billetts_Benchmarking_2007_Poland" xfId="353" xr:uid="{00000000-0005-0000-0000-0000FC000000}"/>
    <cellStyle name="_Billetts_Benchmarking_2007_Poland_adidas China savings TV" xfId="354" xr:uid="{00000000-0005-0000-0000-0000FD000000}"/>
    <cellStyle name="_Billetts_Benchmarking_2007_Poland_adidas China savings TV_Adidas China savings TV_Rohan" xfId="355" xr:uid="{00000000-0005-0000-0000-0000FE000000}"/>
    <cellStyle name="_Billetts_Benchmarking_2007_Slovakia" xfId="356" xr:uid="{00000000-0005-0000-0000-0000FF000000}"/>
    <cellStyle name="_Billetts_Benchmarking_2007_Slovakia_adidas China savings TV" xfId="357" xr:uid="{00000000-0005-0000-0000-000000010000}"/>
    <cellStyle name="_Billetts_Benchmarking_2007_Slovakia_adidas China savings TV_Adidas China savings TV_Rohan" xfId="358" xr:uid="{00000000-0005-0000-0000-000001010000}"/>
    <cellStyle name="_Billetts_Benchmarking_2007_Switz" xfId="359" xr:uid="{00000000-0005-0000-0000-000002010000}"/>
    <cellStyle name="_Billetts_Benchmarking_2007_Switz_adidas China savings TV" xfId="360" xr:uid="{00000000-0005-0000-0000-000003010000}"/>
    <cellStyle name="_Billetts_Benchmarking_2007_Switz_adidas China savings TV_Adidas China savings TV_Rohan" xfId="361" xr:uid="{00000000-0005-0000-0000-000004010000}"/>
    <cellStyle name="_Book1" xfId="362" xr:uid="{00000000-0005-0000-0000-000005010000}"/>
    <cellStyle name="_Book1_adidas China savings TV" xfId="363" xr:uid="{00000000-0005-0000-0000-000006010000}"/>
    <cellStyle name="_Book1_adidas China savings TV_Adidas China savings TV_Rohan" xfId="364" xr:uid="{00000000-0005-0000-0000-000007010000}"/>
    <cellStyle name="_DK -  2007 Billets benchmark template Euro 070426" xfId="365" xr:uid="{00000000-0005-0000-0000-000008010000}"/>
    <cellStyle name="_DK -  2007 Billets benchmark template Euro 070426_adidas China savings TV" xfId="366" xr:uid="{00000000-0005-0000-0000-000009010000}"/>
    <cellStyle name="_DK -  2007 Billets benchmark template Euro 070426_adidas China savings TV_Adidas China savings TV_Rohan" xfId="367" xr:uid="{00000000-0005-0000-0000-00000A010000}"/>
    <cellStyle name="_DK - Billets benchmark template" xfId="368" xr:uid="{00000000-0005-0000-0000-00000B010000}"/>
    <cellStyle name="_DK - Billets benchmark template_adidas China savings TV" xfId="369" xr:uid="{00000000-0005-0000-0000-00000C010000}"/>
    <cellStyle name="_DK - Billets benchmark template_adidas China savings TV_Adidas China savings TV_Rohan" xfId="370" xr:uid="{00000000-0005-0000-0000-00000D010000}"/>
    <cellStyle name="_f" xfId="39" xr:uid="{00000000-0005-0000-0000-00000E010000}"/>
    <cellStyle name="_f 2" xfId="56" xr:uid="{00000000-0005-0000-0000-00000F010000}"/>
    <cellStyle name="_f 2 2" xfId="57" xr:uid="{00000000-0005-0000-0000-000010010000}"/>
    <cellStyle name="_f 3" xfId="58" xr:uid="{00000000-0005-0000-0000-000011010000}"/>
    <cellStyle name="_FI - 2007 Billets benchmark template Euro 070426" xfId="371" xr:uid="{00000000-0005-0000-0000-000012010000}"/>
    <cellStyle name="_FI - 2007 Billets benchmark template Euro 070426_adidas China savings TV" xfId="372" xr:uid="{00000000-0005-0000-0000-000013010000}"/>
    <cellStyle name="_FI - 2007 Billets benchmark template Euro 070426_adidas China savings TV_Adidas China savings TV_Rohan" xfId="373" xr:uid="{00000000-0005-0000-0000-000014010000}"/>
    <cellStyle name="_FIN - Billets benchmark 2005 - 070305" xfId="374" xr:uid="{00000000-0005-0000-0000-000015010000}"/>
    <cellStyle name="_FIN - Billets benchmark 2005 - 070305_adidas China savings TV" xfId="375" xr:uid="{00000000-0005-0000-0000-000016010000}"/>
    <cellStyle name="_FIN - Billets benchmark 2005 - 070305_adidas China savings TV_Adidas China savings TV_Rohan" xfId="376" xr:uid="{00000000-0005-0000-0000-000017010000}"/>
    <cellStyle name="_fz" xfId="40" xr:uid="{00000000-0005-0000-0000-000018010000}"/>
    <cellStyle name="_fz 2" xfId="59" xr:uid="{00000000-0005-0000-0000-000019010000}"/>
    <cellStyle name="_fz 2 2" xfId="60" xr:uid="{00000000-0005-0000-0000-00001A010000}"/>
    <cellStyle name="_fz 3" xfId="61" xr:uid="{00000000-0005-0000-0000-00001B010000}"/>
    <cellStyle name="_GCC adidas Billets 2005" xfId="377" xr:uid="{00000000-0005-0000-0000-00001C010000}"/>
    <cellStyle name="_GCC adidas Billets 2005_adidas China savings TV" xfId="378" xr:uid="{00000000-0005-0000-0000-00001D010000}"/>
    <cellStyle name="_GCC adidas Billets 2005_adidas China savings TV_Adidas China savings TV_Rohan" xfId="379" xr:uid="{00000000-0005-0000-0000-00001E010000}"/>
    <cellStyle name="_Germany 2005 Billets benchmark template Euro final" xfId="380" xr:uid="{00000000-0005-0000-0000-00001F010000}"/>
    <cellStyle name="_Germany 2005 Billets benchmark template Euro final_adidas China savings TV" xfId="381" xr:uid="{00000000-0005-0000-0000-000020010000}"/>
    <cellStyle name="_Germany 2005 Billets benchmark template Euro final_adidas China savings TV_Adidas China savings TV_Rohan" xfId="382" xr:uid="{00000000-0005-0000-0000-000021010000}"/>
    <cellStyle name="_Germany 2007 Billets benchmark template Euro final" xfId="383" xr:uid="{00000000-0005-0000-0000-000022010000}"/>
    <cellStyle name="_Germany 2007 Billets benchmark template Euro final_adidas China savings TV" xfId="384" xr:uid="{00000000-0005-0000-0000-000023010000}"/>
    <cellStyle name="_Germany 2007 Billets benchmark template Euro final_adidas China savings TV_Adidas China savings TV_Rohan" xfId="385" xr:uid="{00000000-0005-0000-0000-000024010000}"/>
    <cellStyle name="_Germany added value savings template Q1-Q2 080807" xfId="386" xr:uid="{00000000-0005-0000-0000-000025010000}"/>
    <cellStyle name="_Germany added value savings template Q1-Q2 080807_adidas China savings TV" xfId="387" xr:uid="{00000000-0005-0000-0000-000026010000}"/>
    <cellStyle name="_Germany added value savings template Q1-Q2 080807_adidas China savings TV_Adidas China savings TV_Rohan" xfId="388" xr:uid="{00000000-0005-0000-0000-000027010000}"/>
    <cellStyle name="_Germany new added value summary template 02 05 07 final" xfId="389" xr:uid="{00000000-0005-0000-0000-000028010000}"/>
    <cellStyle name="_Germany new added value summary template 02 05 07 final_adidas China savings TV" xfId="390" xr:uid="{00000000-0005-0000-0000-000029010000}"/>
    <cellStyle name="_Germany new added value summary template 02 05 07 final_adidas China savings TV_Adidas China savings TV_Rohan" xfId="391" xr:uid="{00000000-0005-0000-0000-00002A010000}"/>
    <cellStyle name="_Greece Billets_benchmark" xfId="392" xr:uid="{00000000-0005-0000-0000-00002B010000}"/>
    <cellStyle name="_Greece Billets_benchmark_2" xfId="393" xr:uid="{00000000-0005-0000-0000-00002C010000}"/>
    <cellStyle name="_Greece Billets_benchmark_2_adidas China savings TV" xfId="394" xr:uid="{00000000-0005-0000-0000-00002D010000}"/>
    <cellStyle name="_Greece Billets_benchmark_2_adidas China savings TV_Adidas China savings TV_Rohan" xfId="395" xr:uid="{00000000-0005-0000-0000-00002E010000}"/>
    <cellStyle name="_Greece Billets_benchmark_adidas China savings TV" xfId="396" xr:uid="{00000000-0005-0000-0000-00002F010000}"/>
    <cellStyle name="_Greece Billets_benchmark_adidas China savings TV_Adidas China savings TV_Rohan" xfId="397" xr:uid="{00000000-0005-0000-0000-000030010000}"/>
    <cellStyle name="_Hong Kong - Billets benchmark" xfId="398" xr:uid="{00000000-0005-0000-0000-000031010000}"/>
    <cellStyle name="_Hong Kong - Billets benchmark_adidas China savings TV" xfId="399" xr:uid="{00000000-0005-0000-0000-000032010000}"/>
    <cellStyle name="_Hong Kong - Billets benchmark_adidas China savings TV_Adidas China savings TV_Rohan" xfId="400" xr:uid="{00000000-0005-0000-0000-000033010000}"/>
    <cellStyle name="_India - added value 20.04.07" xfId="401" xr:uid="{00000000-0005-0000-0000-000034010000}"/>
    <cellStyle name="_India - added value 20.04.07_adidas China savings TV" xfId="402" xr:uid="{00000000-0005-0000-0000-000035010000}"/>
    <cellStyle name="_India - added value 20.04.07_adidas China savings TV_Adidas China savings TV_Rohan" xfId="403" xr:uid="{00000000-0005-0000-0000-000036010000}"/>
    <cellStyle name="_India - Billets benchmark" xfId="404" xr:uid="{00000000-0005-0000-0000-000037010000}"/>
    <cellStyle name="_India - Billets benchmark_adidas China savings TV" xfId="405" xr:uid="{00000000-0005-0000-0000-000038010000}"/>
    <cellStyle name="_India - Billets benchmark_adidas China savings TV_Adidas China savings TV_Rohan" xfId="406" xr:uid="{00000000-0005-0000-0000-000039010000}"/>
    <cellStyle name="_India 2007 Billets benchmark template USD" xfId="407" xr:uid="{00000000-0005-0000-0000-00003A010000}"/>
    <cellStyle name="_India 2007 Billets benchmark template USD_adidas China savings TV" xfId="408" xr:uid="{00000000-0005-0000-0000-00003B010000}"/>
    <cellStyle name="_India 2007 Billets benchmark template USD_adidas China savings TV_Adidas China savings TV_Rohan" xfId="409" xr:uid="{00000000-0005-0000-0000-00003C010000}"/>
    <cellStyle name="_Indonesia - Billets benchmark" xfId="410" xr:uid="{00000000-0005-0000-0000-00003D010000}"/>
    <cellStyle name="_Indonesia - Billets benchmark_adidas China savings TV" xfId="411" xr:uid="{00000000-0005-0000-0000-00003E010000}"/>
    <cellStyle name="_Indonesia - Billets benchmark_adidas China savings TV_Adidas China savings TV_Rohan" xfId="412" xr:uid="{00000000-0005-0000-0000-00003F010000}"/>
    <cellStyle name="_Ireland Billets benchmark template 2005" xfId="413" xr:uid="{00000000-0005-0000-0000-000040010000}"/>
    <cellStyle name="_Ireland Billets benchmark template 2005_adidas China savings TV" xfId="414" xr:uid="{00000000-0005-0000-0000-000041010000}"/>
    <cellStyle name="_Ireland Billets benchmark template 2005_adidas China savings TV_Adidas China savings TV_Rohan" xfId="415" xr:uid="{00000000-0005-0000-0000-000042010000}"/>
    <cellStyle name="_Ireland Billets benchmark template 2007 " xfId="416" xr:uid="{00000000-0005-0000-0000-000043010000}"/>
    <cellStyle name="_Ireland Billets benchmark template 2007 _adidas China savings TV" xfId="417" xr:uid="{00000000-0005-0000-0000-000044010000}"/>
    <cellStyle name="_Ireland Billets benchmark template 2007 _adidas China savings TV_Adidas China savings TV_Rohan" xfId="418" xr:uid="{00000000-0005-0000-0000-000045010000}"/>
    <cellStyle name="_Italy adidas 2005 benchmark template  5 march 07" xfId="419" xr:uid="{00000000-0005-0000-0000-000046010000}"/>
    <cellStyle name="_Italy adidas 2005 benchmark template  5 march 07_adidas China savings TV" xfId="420" xr:uid="{00000000-0005-0000-0000-000047010000}"/>
    <cellStyle name="_Italy adidas 2005 benchmark template  5 march 07_adidas China savings TV_Adidas China savings TV_Rohan" xfId="421" xr:uid="{00000000-0005-0000-0000-000048010000}"/>
    <cellStyle name="_Korea  26.04.07 Added Value" xfId="422" xr:uid="{00000000-0005-0000-0000-000049010000}"/>
    <cellStyle name="_Korea  26.04.07 Added Value 2" xfId="423" xr:uid="{00000000-0005-0000-0000-00004A010000}"/>
    <cellStyle name="_Korea  26.04.07 Added Value_~9689520" xfId="424" xr:uid="{00000000-0005-0000-0000-00004B010000}"/>
    <cellStyle name="_Korea  26.04.07 Added Value_Adidas China savings TV_Rohan" xfId="425" xr:uid="{00000000-0005-0000-0000-00004C010000}"/>
    <cellStyle name="_Korea  26.04.07 Added Value_China savings &amp; benchmark update(Jan.28,08)" xfId="426" xr:uid="{00000000-0005-0000-0000-00004D010000}"/>
    <cellStyle name="_Korea  26.04.07 Added Value_China savings &amp; benchmarking - reviewed Q4" xfId="427" xr:uid="{00000000-0005-0000-0000-00004E010000}"/>
    <cellStyle name="_Korea  26.04.07 Added Value_China savings &amp; benchmarkv-Oct.update - reviewed" xfId="428" xr:uid="{00000000-0005-0000-0000-00004F010000}"/>
    <cellStyle name="_Korea  26.04.07 Added Value_China savings &amp; benchmarkv-Oct.update - reviewed_adidas China savings TV" xfId="429" xr:uid="{00000000-0005-0000-0000-000050010000}"/>
    <cellStyle name="_Korea  26.04.07 Added Value_China savings &amp; benchmarkv-Oct.update - reviewed_adidas China savings TV_Adidas China savings TV_Rohan" xfId="430" xr:uid="{00000000-0005-0000-0000-000051010000}"/>
    <cellStyle name="_Korea  26.04.07 Added Value_Italy saving ricevuto da Int." xfId="431" xr:uid="{00000000-0005-0000-0000-000052010000}"/>
    <cellStyle name="_Korea  26.04.07 Added Value_Market Performance" xfId="432" xr:uid="{00000000-0005-0000-0000-000053010000}"/>
    <cellStyle name="_Korea - Billets benchmark" xfId="433" xr:uid="{00000000-0005-0000-0000-000054010000}"/>
    <cellStyle name="_Korea - Billets benchmark 2" xfId="434" xr:uid="{00000000-0005-0000-0000-000055010000}"/>
    <cellStyle name="_Korea - Billets benchmark_~9689520" xfId="435" xr:uid="{00000000-0005-0000-0000-000056010000}"/>
    <cellStyle name="_Korea - Billets benchmark_Adidas China savings TV_Rohan" xfId="436" xr:uid="{00000000-0005-0000-0000-000057010000}"/>
    <cellStyle name="_Korea - Billets benchmark_China savings &amp; benchmark update(Jan.28,08)" xfId="437" xr:uid="{00000000-0005-0000-0000-000058010000}"/>
    <cellStyle name="_Korea - Billets benchmark_China savings &amp; benchmarking - reviewed Q4" xfId="438" xr:uid="{00000000-0005-0000-0000-000059010000}"/>
    <cellStyle name="_Korea - Billets benchmark_China savings &amp; benchmarkv-Oct.update - reviewed" xfId="439" xr:uid="{00000000-0005-0000-0000-00005A010000}"/>
    <cellStyle name="_Korea - Billets benchmark_China savings &amp; benchmarkv-Oct.update - reviewed_adidas China savings TV" xfId="440" xr:uid="{00000000-0005-0000-0000-00005B010000}"/>
    <cellStyle name="_Korea - Billets benchmark_China savings &amp; benchmarkv-Oct.update - reviewed_adidas China savings TV_Adidas China savings TV_Rohan" xfId="441" xr:uid="{00000000-0005-0000-0000-00005C010000}"/>
    <cellStyle name="_Korea - Billets benchmark_Italy saving ricevuto da Int." xfId="442" xr:uid="{00000000-0005-0000-0000-00005D010000}"/>
    <cellStyle name="_Korea - Billets benchmark_Market Performance" xfId="443" xr:uid="{00000000-0005-0000-0000-00005E010000}"/>
    <cellStyle name="_Korea Billets benchmark template_KOREA_0321" xfId="444" xr:uid="{00000000-0005-0000-0000-00005F010000}"/>
    <cellStyle name="_Korea Billets benchmark template_KOREA_0321 2" xfId="445" xr:uid="{00000000-0005-0000-0000-000060010000}"/>
    <cellStyle name="_Korea Billets benchmark template_KOREA_0321_~9689520" xfId="446" xr:uid="{00000000-0005-0000-0000-000061010000}"/>
    <cellStyle name="_Korea Billets benchmark template_KOREA_0321_Adidas China savings TV_Rohan" xfId="447" xr:uid="{00000000-0005-0000-0000-000062010000}"/>
    <cellStyle name="_Korea Billets benchmark template_KOREA_0321_China savings &amp; benchmark update(Jan.28,08)" xfId="448" xr:uid="{00000000-0005-0000-0000-000063010000}"/>
    <cellStyle name="_Korea Billets benchmark template_KOREA_0321_China savings &amp; benchmarking - reviewed Q4" xfId="449" xr:uid="{00000000-0005-0000-0000-000064010000}"/>
    <cellStyle name="_Korea Billets benchmark template_KOREA_0321_China savings &amp; benchmarkv-Oct.update - reviewed" xfId="450" xr:uid="{00000000-0005-0000-0000-000065010000}"/>
    <cellStyle name="_Korea Billets benchmark template_KOREA_0321_China savings &amp; benchmarkv-Oct.update - reviewed_adidas China savings TV" xfId="451" xr:uid="{00000000-0005-0000-0000-000066010000}"/>
    <cellStyle name="_Korea Billets benchmark template_KOREA_0321_China savings &amp; benchmarkv-Oct.update - reviewed_adidas China savings TV_Adidas China savings TV_Rohan" xfId="452" xr:uid="{00000000-0005-0000-0000-000067010000}"/>
    <cellStyle name="_Korea Billets benchmark template_KOREA_0321_Italy saving ricevuto da Int." xfId="453" xr:uid="{00000000-0005-0000-0000-000068010000}"/>
    <cellStyle name="_Korea Billets benchmark template_KOREA_0321_Market Performance" xfId="454" xr:uid="{00000000-0005-0000-0000-000069010000}"/>
    <cellStyle name="_Korea Billets benchmark template_KOREA_revised" xfId="455" xr:uid="{00000000-0005-0000-0000-00006A010000}"/>
    <cellStyle name="_Korea Billets benchmark template_KOREA_revised 2" xfId="456" xr:uid="{00000000-0005-0000-0000-00006B010000}"/>
    <cellStyle name="_Korea Billets benchmark template_KOREA_revised_~9689520" xfId="457" xr:uid="{00000000-0005-0000-0000-00006C010000}"/>
    <cellStyle name="_Korea Billets benchmark template_KOREA_revised_Adidas China savings TV_Rohan" xfId="458" xr:uid="{00000000-0005-0000-0000-00006D010000}"/>
    <cellStyle name="_Korea Billets benchmark template_KOREA_revised_China savings &amp; benchmark update(Jan.28,08)" xfId="459" xr:uid="{00000000-0005-0000-0000-00006E010000}"/>
    <cellStyle name="_Korea Billets benchmark template_KOREA_revised_China savings &amp; benchmarking - reviewed Q4" xfId="460" xr:uid="{00000000-0005-0000-0000-00006F010000}"/>
    <cellStyle name="_Korea Billets benchmark template_KOREA_revised_China savings &amp; benchmarkv-Oct.update - reviewed" xfId="461" xr:uid="{00000000-0005-0000-0000-000070010000}"/>
    <cellStyle name="_Korea Billets benchmark template_KOREA_revised_China savings &amp; benchmarkv-Oct.update - reviewed_adidas China savings TV" xfId="462" xr:uid="{00000000-0005-0000-0000-000071010000}"/>
    <cellStyle name="_Korea Billets benchmark template_KOREA_revised_China savings &amp; benchmarkv-Oct.update - reviewed_adidas China savings TV_Adidas China savings TV_Rohan" xfId="463" xr:uid="{00000000-0005-0000-0000-000072010000}"/>
    <cellStyle name="_Korea Billets benchmark template_KOREA_revised_Italy saving ricevuto da Int." xfId="464" xr:uid="{00000000-0005-0000-0000-000073010000}"/>
    <cellStyle name="_Korea Billets benchmark template_KOREA_revised_Market Performance" xfId="465" xr:uid="{00000000-0005-0000-0000-000074010000}"/>
    <cellStyle name="_Lebanon Billets benchmark template'" xfId="466" xr:uid="{00000000-0005-0000-0000-000075010000}"/>
    <cellStyle name="_Lebanon Billets benchmark template'_adidas China savings TV" xfId="467" xr:uid="{00000000-0005-0000-0000-000076010000}"/>
    <cellStyle name="_Lebanon Billets benchmark template'_adidas China savings TV_Adidas China savings TV_Rohan" xfId="468" xr:uid="{00000000-0005-0000-0000-000077010000}"/>
    <cellStyle name="_Malaysia - Billets benchmark" xfId="469" xr:uid="{00000000-0005-0000-0000-000078010000}"/>
    <cellStyle name="_Malaysia - Billets benchmark_adidas China savings TV" xfId="470" xr:uid="{00000000-0005-0000-0000-000079010000}"/>
    <cellStyle name="_Malaysia - Billets benchmark_adidas China savings TV_Adidas China savings TV_Rohan" xfId="471" xr:uid="{00000000-0005-0000-0000-00007A010000}"/>
    <cellStyle name="_Malaysia 2007 Billets Benchmark 9May07 (R2)" xfId="472" xr:uid="{00000000-0005-0000-0000-00007B010000}"/>
    <cellStyle name="_Malaysia Added Value 30Apr07 (R1)" xfId="473" xr:uid="{00000000-0005-0000-0000-00007C010000}"/>
    <cellStyle name="_Malaysia Added Value 30Apr07 (R1)_adidas China savings TV" xfId="474" xr:uid="{00000000-0005-0000-0000-00007D010000}"/>
    <cellStyle name="_Malaysia Added Value 30Apr07 (R1)_adidas China savings TV_Adidas China savings TV_Rohan" xfId="475" xr:uid="{00000000-0005-0000-0000-00007E010000}"/>
    <cellStyle name="_Mexico 2007 Billets benchmark template USD ORIGINAL" xfId="476" xr:uid="{00000000-0005-0000-0000-00007F010000}"/>
    <cellStyle name="_Mexico 2007 Billets benchmark template USD ORIGINAL_adidas China savings TV" xfId="477" xr:uid="{00000000-0005-0000-0000-000080010000}"/>
    <cellStyle name="_Mexico 2007 Billets benchmark template USD ORIGINAL_adidas China savings TV_Adidas China savings TV_Rohan" xfId="478" xr:uid="{00000000-0005-0000-0000-000081010000}"/>
    <cellStyle name="_Mexico new added value summary template 23.07.07" xfId="479" xr:uid="{00000000-0005-0000-0000-000082010000}"/>
    <cellStyle name="_Mexico new added value summary template 23.07.07_adidas China savings TV" xfId="480" xr:uid="{00000000-0005-0000-0000-000083010000}"/>
    <cellStyle name="_Mexico new added value summary template 23.07.07_adidas China savings TV_Adidas China savings TV_Rohan" xfId="481" xr:uid="{00000000-0005-0000-0000-000084010000}"/>
    <cellStyle name="_Mexico Template 120707" xfId="482" xr:uid="{00000000-0005-0000-0000-000085010000}"/>
    <cellStyle name="_Mexico Template 120707_adidas China savings TV" xfId="483" xr:uid="{00000000-0005-0000-0000-000086010000}"/>
    <cellStyle name="_Mexico Template 120707_adidas China savings TV_Adidas China savings TV_Rohan" xfId="484" xr:uid="{00000000-0005-0000-0000-000087010000}"/>
    <cellStyle name="_new added value summary template 10 04 07" xfId="485" xr:uid="{00000000-0005-0000-0000-000088010000}"/>
    <cellStyle name="_new added value summary template 10 04 07_adidas China savings TV" xfId="486" xr:uid="{00000000-0005-0000-0000-000089010000}"/>
    <cellStyle name="_new added value summary template 10 04 07_adidas China savings TV_Adidas China savings TV_Rohan" xfId="487" xr:uid="{00000000-0005-0000-0000-00008A010000}"/>
    <cellStyle name="_new added value summary template 26 04 07 Mexico R3" xfId="488" xr:uid="{00000000-0005-0000-0000-00008B010000}"/>
    <cellStyle name="_new added value summary template 26 04 07 Mexico R3_adidas China savings TV" xfId="489" xr:uid="{00000000-0005-0000-0000-00008C010000}"/>
    <cellStyle name="_new added value summary template 26 04 07 Mexico R3_adidas China savings TV_Adidas China savings TV_Rohan" xfId="490" xr:uid="{00000000-0005-0000-0000-00008D010000}"/>
    <cellStyle name="_new added value summary template 26.04.07" xfId="491" xr:uid="{00000000-0005-0000-0000-00008E010000}"/>
    <cellStyle name="_new added value summary template 26.04.07_adidas China savings TV" xfId="492" xr:uid="{00000000-0005-0000-0000-00008F010000}"/>
    <cellStyle name="_new added value summary template 26.04.07_adidas China savings TV_Adidas China savings TV_Rohan" xfId="493" xr:uid="{00000000-0005-0000-0000-000090010000}"/>
    <cellStyle name="_NL 2007 Billets benchmark template Euro" xfId="494" xr:uid="{00000000-0005-0000-0000-000091010000}"/>
    <cellStyle name="_NL 2007 Billets benchmark template Euro_adidas China savings TV" xfId="495" xr:uid="{00000000-0005-0000-0000-000092010000}"/>
    <cellStyle name="_NL 2007 Billets benchmark template Euro_adidas China savings TV_Adidas China savings TV_Rohan" xfId="496" xr:uid="{00000000-0005-0000-0000-000093010000}"/>
    <cellStyle name="_NL Billets benchmark template" xfId="497" xr:uid="{00000000-0005-0000-0000-000094010000}"/>
    <cellStyle name="_NL Billets benchmark template_adidas China savings TV" xfId="498" xr:uid="{00000000-0005-0000-0000-000095010000}"/>
    <cellStyle name="_NL Billets benchmark template_adidas China savings TV_Adidas China savings TV_Rohan" xfId="499" xr:uid="{00000000-0005-0000-0000-000096010000}"/>
    <cellStyle name="_NO - Billets benchmark template 070309" xfId="500" xr:uid="{00000000-0005-0000-0000-000097010000}"/>
    <cellStyle name="_NO - Billets benchmark template 070309_adidas China savings TV" xfId="501" xr:uid="{00000000-0005-0000-0000-000098010000}"/>
    <cellStyle name="_NO - Billets benchmark template 070309_adidas China savings TV_Adidas China savings TV_Rohan" xfId="502" xr:uid="{00000000-0005-0000-0000-000099010000}"/>
    <cellStyle name="_NO 2007 Billets benchmark template Euro (2)" xfId="503" xr:uid="{00000000-0005-0000-0000-00009A010000}"/>
    <cellStyle name="_NO 2007 Billets benchmark template Euro (2)_adidas China savings TV" xfId="504" xr:uid="{00000000-0005-0000-0000-00009B010000}"/>
    <cellStyle name="_NO 2007 Billets benchmark template Euro (2)_adidas China savings TV_Adidas China savings TV_Rohan" xfId="505" xr:uid="{00000000-0005-0000-0000-00009C010000}"/>
    <cellStyle name="_NZ - Billets benchmark" xfId="506" xr:uid="{00000000-0005-0000-0000-00009D010000}"/>
    <cellStyle name="_NZ - Billets benchmark_adidas China savings TV" xfId="507" xr:uid="{00000000-0005-0000-0000-00009E010000}"/>
    <cellStyle name="_NZ - Billets benchmark_adidas China savings TV_Adidas China savings TV_Rohan" xfId="508" xr:uid="{00000000-0005-0000-0000-00009F010000}"/>
    <cellStyle name="_NZ 2007 Billets benchmark template USD (purple)" xfId="509" xr:uid="{00000000-0005-0000-0000-0000A0010000}"/>
    <cellStyle name="_NZ 2007 Billets benchmark template USD (purple)_adidas China savings TV" xfId="510" xr:uid="{00000000-0005-0000-0000-0000A1010000}"/>
    <cellStyle name="_NZ 2007 Billets benchmark template USD (purple)_adidas China savings TV_Adidas China savings TV_Rohan" xfId="511" xr:uid="{00000000-0005-0000-0000-0000A2010000}"/>
    <cellStyle name="_Online Pool UK FY2007 ALL Digital v02" xfId="41" xr:uid="{00000000-0005-0000-0000-0000A3010000}"/>
    <cellStyle name="_Online Pool UK FY2007 ALL Digital v02 2" xfId="62" xr:uid="{00000000-0005-0000-0000-0000A4010000}"/>
    <cellStyle name="_Online Pool UK FY2007 ALL Digital v02 2 2" xfId="63" xr:uid="{00000000-0005-0000-0000-0000A5010000}"/>
    <cellStyle name="_Online Pool UK FY2007 ALL Digital v02 3" xfId="64" xr:uid="{00000000-0005-0000-0000-0000A6010000}"/>
    <cellStyle name="_p" xfId="42" xr:uid="{00000000-0005-0000-0000-0000A7010000}"/>
    <cellStyle name="_p 2" xfId="65" xr:uid="{00000000-0005-0000-0000-0000A8010000}"/>
    <cellStyle name="_p 2 2" xfId="66" xr:uid="{00000000-0005-0000-0000-0000A9010000}"/>
    <cellStyle name="_p 3" xfId="67" xr:uid="{00000000-0005-0000-0000-0000AA010000}"/>
    <cellStyle name="_Philippines  20.04.07" xfId="512" xr:uid="{00000000-0005-0000-0000-0000AB010000}"/>
    <cellStyle name="_Philippines  20.04.07_adidas China savings TV" xfId="513" xr:uid="{00000000-0005-0000-0000-0000AC010000}"/>
    <cellStyle name="_Philippines  20.04.07_adidas China savings TV_Adidas China savings TV_Rohan" xfId="514" xr:uid="{00000000-0005-0000-0000-0000AD010000}"/>
    <cellStyle name="_Philippines - Billets benchmark" xfId="515" xr:uid="{00000000-0005-0000-0000-0000AE010000}"/>
    <cellStyle name="_Philippines - Billets benchmark_adidas China savings TV" xfId="516" xr:uid="{00000000-0005-0000-0000-0000AF010000}"/>
    <cellStyle name="_Philippines - Billets benchmark_adidas China savings TV_Adidas China savings TV_Rohan" xfId="517" xr:uid="{00000000-0005-0000-0000-0000B0010000}"/>
    <cellStyle name="_Portugal@2007 Billets benchmark template Euro" xfId="518" xr:uid="{00000000-0005-0000-0000-0000B1010000}"/>
    <cellStyle name="_Portugal@2007 Billets benchmark template Euro_adidas China savings TV" xfId="519" xr:uid="{00000000-0005-0000-0000-0000B2010000}"/>
    <cellStyle name="_Portugal@2007 Billets benchmark template Euro_adidas China savings TV_Adidas China savings TV_Rohan" xfId="520" xr:uid="{00000000-0005-0000-0000-0000B3010000}"/>
    <cellStyle name="_pz" xfId="43" xr:uid="{00000000-0005-0000-0000-0000B4010000}"/>
    <cellStyle name="_pz 2" xfId="68" xr:uid="{00000000-0005-0000-0000-0000B5010000}"/>
    <cellStyle name="_pz 2 2" xfId="69" xr:uid="{00000000-0005-0000-0000-0000B6010000}"/>
    <cellStyle name="_pz 3" xfId="70" xr:uid="{00000000-0005-0000-0000-0000B7010000}"/>
    <cellStyle name="_rbk 2007 cost benchmarks summary  2 April" xfId="521" xr:uid="{00000000-0005-0000-0000-0000B8010000}"/>
    <cellStyle name="_rbk 2007 cost benchmarks summary  2 April_adidas China savings TV" xfId="522" xr:uid="{00000000-0005-0000-0000-0000B9010000}"/>
    <cellStyle name="_rbk 2007 cost benchmarks summary  2 April_adidas China savings TV_Adidas China savings TV_Rohan" xfId="523" xr:uid="{00000000-0005-0000-0000-0000BA010000}"/>
    <cellStyle name="_Russia Billets benchmark template_corrected" xfId="524" xr:uid="{00000000-0005-0000-0000-0000BB010000}"/>
    <cellStyle name="_Russia Billets benchmark template_corrected_adidas China savings TV" xfId="525" xr:uid="{00000000-0005-0000-0000-0000BC010000}"/>
    <cellStyle name="_Russia Billets benchmark template_corrected_adidas China savings TV_Adidas China savings TV_Rohan" xfId="526" xr:uid="{00000000-0005-0000-0000-0000BD010000}"/>
    <cellStyle name="_Russia Billets benchmark template_final" xfId="527" xr:uid="{00000000-0005-0000-0000-0000BE010000}"/>
    <cellStyle name="_Russia Billets benchmark template_final_adidas China savings TV" xfId="528" xr:uid="{00000000-0005-0000-0000-0000BF010000}"/>
    <cellStyle name="_Russia Billets benchmark template_final_adidas China savings TV_Adidas China savings TV_Rohan" xfId="529" xr:uid="{00000000-0005-0000-0000-0000C0010000}"/>
    <cellStyle name="_Singapore - Billets benchmark" xfId="530" xr:uid="{00000000-0005-0000-0000-0000C1010000}"/>
    <cellStyle name="_Singapore - Billets benchmark_adidas China savings TV" xfId="531" xr:uid="{00000000-0005-0000-0000-0000C2010000}"/>
    <cellStyle name="_Singapore - Billets benchmark_adidas China savings TV_Adidas China savings TV_Rohan" xfId="532" xr:uid="{00000000-0005-0000-0000-0000C3010000}"/>
    <cellStyle name="_Singapore 2007 Billets benchmark template USD" xfId="533" xr:uid="{00000000-0005-0000-0000-0000C4010000}"/>
    <cellStyle name="_Singapore added value summary" xfId="534" xr:uid="{00000000-0005-0000-0000-0000C5010000}"/>
    <cellStyle name="_Singapore added value summary_adidas China savings TV" xfId="535" xr:uid="{00000000-0005-0000-0000-0000C6010000}"/>
    <cellStyle name="_Singapore added value summary_adidas China savings TV_Adidas China savings TV_Rohan" xfId="536" xr:uid="{00000000-0005-0000-0000-0000C7010000}"/>
    <cellStyle name="_Slovakia added value savings template Q1-Q2 11.07.07 rev jac" xfId="537" xr:uid="{00000000-0005-0000-0000-0000C8010000}"/>
    <cellStyle name="_Slovakia added value savings template Q1-Q2 11.07.07 rev jac_adidas China savings TV" xfId="538" xr:uid="{00000000-0005-0000-0000-0000C9010000}"/>
    <cellStyle name="_Slovakia added value savings template Q1-Q2 11.07.07 rev jac_adidas China savings TV_Adidas China savings TV_Rohan" xfId="539" xr:uid="{00000000-0005-0000-0000-0000CA010000}"/>
    <cellStyle name="_Slovakia new added value summary template 10.04.07" xfId="540" xr:uid="{00000000-0005-0000-0000-0000CB010000}"/>
    <cellStyle name="_Slovakia new added value summary template 10.04.07_adidas China savings TV" xfId="541" xr:uid="{00000000-0005-0000-0000-0000CC010000}"/>
    <cellStyle name="_Slovakia new added value summary template 10.04.07_adidas China savings TV_Adidas China savings TV_Rohan" xfId="542" xr:uid="{00000000-0005-0000-0000-0000CD010000}"/>
    <cellStyle name="_Spain Billets benchmark template" xfId="543" xr:uid="{00000000-0005-0000-0000-0000CE010000}"/>
    <cellStyle name="_Spain Billets benchmark template_adidas China savings TV" xfId="544" xr:uid="{00000000-0005-0000-0000-0000CF010000}"/>
    <cellStyle name="_Spain Billets benchmark template_adidas China savings TV_Adidas China savings TV_Rohan" xfId="545" xr:uid="{00000000-0005-0000-0000-0000D0010000}"/>
    <cellStyle name="_SWE - Billets benchmark template 070305 - $ net figures" xfId="546" xr:uid="{00000000-0005-0000-0000-0000D1010000}"/>
    <cellStyle name="_SWE - Billets benchmark template 070305 - $ net figures_adidas China savings TV" xfId="547" xr:uid="{00000000-0005-0000-0000-0000D2010000}"/>
    <cellStyle name="_SWE - Billets benchmark template 070305 - $ net figures_adidas China savings TV_Adidas China savings TV_Rohan" xfId="548" xr:uid="{00000000-0005-0000-0000-0000D3010000}"/>
    <cellStyle name="_SWE - Q1 2007 Billets benchmark template Euro 070427" xfId="549" xr:uid="{00000000-0005-0000-0000-0000D4010000}"/>
    <cellStyle name="_SWE - Q1 2007 Billets benchmark template Euro 070427_adidas China savings TV" xfId="550" xr:uid="{00000000-0005-0000-0000-0000D5010000}"/>
    <cellStyle name="_SWE - Q1 2007 Billets benchmark template Euro 070427_adidas China savings TV_Adidas China savings TV_Rohan" xfId="551" xr:uid="{00000000-0005-0000-0000-0000D6010000}"/>
    <cellStyle name="_SWI 2007_Billets benchmark template_Q1uQ2_070807" xfId="552" xr:uid="{00000000-0005-0000-0000-0000D7010000}"/>
    <cellStyle name="_SWI 2007_Billets benchmark template_Q1uQ2_070807_adidas China savings TV" xfId="553" xr:uid="{00000000-0005-0000-0000-0000D8010000}"/>
    <cellStyle name="_SWI 2007_Billets benchmark template_Q1uQ2_070807_adidas China savings TV_Adidas China savings TV_Rohan" xfId="554" xr:uid="{00000000-0005-0000-0000-0000D9010000}"/>
    <cellStyle name="_Taiwan - Billets benchmark" xfId="555" xr:uid="{00000000-0005-0000-0000-0000DA010000}"/>
    <cellStyle name="_Taiwan - Billets benchmark 2" xfId="556" xr:uid="{00000000-0005-0000-0000-0000DB010000}"/>
    <cellStyle name="_Taiwan - Billets benchmark_~9689520" xfId="557" xr:uid="{00000000-0005-0000-0000-0000DC010000}"/>
    <cellStyle name="_Taiwan - Billets benchmark_Adidas China savings TV_Rohan" xfId="558" xr:uid="{00000000-0005-0000-0000-0000DD010000}"/>
    <cellStyle name="_Taiwan - Billets benchmark_China savings &amp; benchmark update(Jan.28,08)" xfId="559" xr:uid="{00000000-0005-0000-0000-0000DE010000}"/>
    <cellStyle name="_Taiwan - Billets benchmark_China savings &amp; benchmarking - reviewed Q4" xfId="560" xr:uid="{00000000-0005-0000-0000-0000DF010000}"/>
    <cellStyle name="_Taiwan - Billets benchmark_China savings &amp; benchmarkv-Oct.update - reviewed" xfId="561" xr:uid="{00000000-0005-0000-0000-0000E0010000}"/>
    <cellStyle name="_Taiwan - Billets benchmark_China savings &amp; benchmarkv-Oct.update - reviewed_adidas China savings TV" xfId="562" xr:uid="{00000000-0005-0000-0000-0000E1010000}"/>
    <cellStyle name="_Taiwan - Billets benchmark_China savings &amp; benchmarkv-Oct.update - reviewed_adidas China savings TV_Adidas China savings TV_Rohan" xfId="563" xr:uid="{00000000-0005-0000-0000-0000E2010000}"/>
    <cellStyle name="_Taiwan - Billets benchmark_Italy saving ricevuto da Int." xfId="564" xr:uid="{00000000-0005-0000-0000-0000E3010000}"/>
    <cellStyle name="_Taiwan - Billets benchmark_Market Performance" xfId="565" xr:uid="{00000000-0005-0000-0000-0000E4010000}"/>
    <cellStyle name="_Taiwan 2007 Billets benchmark template USD" xfId="566" xr:uid="{00000000-0005-0000-0000-0000E5010000}"/>
    <cellStyle name="_Taiwan 2007 Billets benchmark template USD 2" xfId="567" xr:uid="{00000000-0005-0000-0000-0000E6010000}"/>
    <cellStyle name="_Taiwan 2007 Billets benchmark template USD_Italy saving ricevuto da Int." xfId="568" xr:uid="{00000000-0005-0000-0000-0000E7010000}"/>
    <cellStyle name="_Taiwan 2007 Billets benchmark template USD_Market Performance" xfId="569" xr:uid="{00000000-0005-0000-0000-0000E8010000}"/>
    <cellStyle name="_Taiwan 23.04.07" xfId="570" xr:uid="{00000000-0005-0000-0000-0000E9010000}"/>
    <cellStyle name="_Taiwan 23.04.07 2" xfId="571" xr:uid="{00000000-0005-0000-0000-0000EA010000}"/>
    <cellStyle name="_Taiwan 23.04.07_~9689520" xfId="572" xr:uid="{00000000-0005-0000-0000-0000EB010000}"/>
    <cellStyle name="_Taiwan 23.04.07_Adidas China savings TV_Rohan" xfId="573" xr:uid="{00000000-0005-0000-0000-0000EC010000}"/>
    <cellStyle name="_Taiwan 23.04.07_China savings &amp; benchmark update(Jan.28,08)" xfId="574" xr:uid="{00000000-0005-0000-0000-0000ED010000}"/>
    <cellStyle name="_Taiwan 23.04.07_China savings &amp; benchmarking - reviewed Q4" xfId="575" xr:uid="{00000000-0005-0000-0000-0000EE010000}"/>
    <cellStyle name="_Taiwan 23.04.07_China savings &amp; benchmarkv-Oct.update - reviewed" xfId="576" xr:uid="{00000000-0005-0000-0000-0000EF010000}"/>
    <cellStyle name="_Taiwan 23.04.07_China savings &amp; benchmarkv-Oct.update - reviewed_adidas China savings TV" xfId="577" xr:uid="{00000000-0005-0000-0000-0000F0010000}"/>
    <cellStyle name="_Taiwan 23.04.07_China savings &amp; benchmarkv-Oct.update - reviewed_adidas China savings TV_Adidas China savings TV_Rohan" xfId="578" xr:uid="{00000000-0005-0000-0000-0000F1010000}"/>
    <cellStyle name="_Taiwan 23.04.07_Italy saving ricevuto da Int." xfId="579" xr:uid="{00000000-0005-0000-0000-0000F2010000}"/>
    <cellStyle name="_Taiwan 23.04.07_Market Performance" xfId="580" xr:uid="{00000000-0005-0000-0000-0000F3010000}"/>
    <cellStyle name="_template France 050307" xfId="581" xr:uid="{00000000-0005-0000-0000-0000F4010000}"/>
    <cellStyle name="_template France 050307_adidas China savings TV" xfId="582" xr:uid="{00000000-0005-0000-0000-0000F5010000}"/>
    <cellStyle name="_template France 050307_adidas China savings TV_Adidas China savings TV_Rohan" xfId="583" xr:uid="{00000000-0005-0000-0000-0000F6010000}"/>
    <cellStyle name="_Thailand - Billets benchmark" xfId="584" xr:uid="{00000000-0005-0000-0000-0000F7010000}"/>
    <cellStyle name="_Thailand - Billets benchmark_adidas China savings TV" xfId="585" xr:uid="{00000000-0005-0000-0000-0000F8010000}"/>
    <cellStyle name="_Thailand - Billets benchmark_adidas China savings TV_Adidas China savings TV_Rohan" xfId="586" xr:uid="{00000000-0005-0000-0000-0000F9010000}"/>
    <cellStyle name="_Thailand 2007 Billets benchmark template USD" xfId="587" xr:uid="{00000000-0005-0000-0000-0000FA010000}"/>
    <cellStyle name="_Thailand 23.04.07" xfId="588" xr:uid="{00000000-0005-0000-0000-0000FB010000}"/>
    <cellStyle name="_Thailand 23.04.07_adidas China savings TV" xfId="589" xr:uid="{00000000-0005-0000-0000-0000FC010000}"/>
    <cellStyle name="_Thailand 23.04.07_adidas China savings TV_Adidas China savings TV_Rohan" xfId="590" xr:uid="{00000000-0005-0000-0000-0000FD010000}"/>
    <cellStyle name="_Thailand added value savings template Q1-Q2 13.09.07" xfId="591" xr:uid="{00000000-0005-0000-0000-0000FE010000}"/>
    <cellStyle name="_Thailand added value savings template Q1-Q2 13.09.07_adidas China savings TV" xfId="592" xr:uid="{00000000-0005-0000-0000-0000FF010000}"/>
    <cellStyle name="_Thailand added value savings template Q1-Q2 13.09.07_adidas China savings TV_Adidas China savings TV_Rohan" xfId="593" xr:uid="{00000000-0005-0000-0000-000000020000}"/>
    <cellStyle name="_Turkey Billets benchmark _Rev Gross" xfId="594" xr:uid="{00000000-0005-0000-0000-000001020000}"/>
    <cellStyle name="_Turkey Billets benchmark _Rev Gross_adidas China savings TV" xfId="595" xr:uid="{00000000-0005-0000-0000-000002020000}"/>
    <cellStyle name="_Turkey Billets benchmark _Rev Gross_adidas China savings TV_Adidas China savings TV_Rohan" xfId="596" xr:uid="{00000000-0005-0000-0000-000003020000}"/>
    <cellStyle name="_TV Cost Data" xfId="597" xr:uid="{00000000-0005-0000-0000-000004020000}"/>
    <cellStyle name="_TV Cost Data_adidas China savings TV" xfId="598" xr:uid="{00000000-0005-0000-0000-000005020000}"/>
    <cellStyle name="_TV Cost Data_adidas China savings TV_Adidas China savings TV_Rohan" xfId="599" xr:uid="{00000000-0005-0000-0000-000006020000}"/>
    <cellStyle name="_TW new added value summary final" xfId="600" xr:uid="{00000000-0005-0000-0000-000007020000}"/>
    <cellStyle name="_TW new added value summary final 2" xfId="601" xr:uid="{00000000-0005-0000-0000-000008020000}"/>
    <cellStyle name="_TW new added value summary final_~9689520" xfId="602" xr:uid="{00000000-0005-0000-0000-000009020000}"/>
    <cellStyle name="_TW new added value summary final_Adidas China savings TV_Rohan" xfId="603" xr:uid="{00000000-0005-0000-0000-00000A020000}"/>
    <cellStyle name="_TW new added value summary final_China savings &amp; benchmark update(Jan.28,08)" xfId="604" xr:uid="{00000000-0005-0000-0000-00000B020000}"/>
    <cellStyle name="_TW new added value summary final_China savings &amp; benchmarking - reviewed Q4" xfId="605" xr:uid="{00000000-0005-0000-0000-00000C020000}"/>
    <cellStyle name="_TW new added value summary final_China savings &amp; benchmarkv-Oct.update - reviewed" xfId="606" xr:uid="{00000000-0005-0000-0000-00000D020000}"/>
    <cellStyle name="_TW new added value summary final_China savings &amp; benchmarkv-Oct.update - reviewed_adidas China savings TV" xfId="607" xr:uid="{00000000-0005-0000-0000-00000E020000}"/>
    <cellStyle name="_TW new added value summary final_China savings &amp; benchmarkv-Oct.update - reviewed_adidas China savings TV_Adidas China savings TV_Rohan" xfId="608" xr:uid="{00000000-0005-0000-0000-00000F020000}"/>
    <cellStyle name="_TW new added value summary final_Italy saving ricevuto da Int." xfId="609" xr:uid="{00000000-0005-0000-0000-000010020000}"/>
    <cellStyle name="_TW new added value summary final_Market Performance" xfId="610" xr:uid="{00000000-0005-0000-0000-000011020000}"/>
    <cellStyle name="_tz" xfId="44" xr:uid="{00000000-0005-0000-0000-000012020000}"/>
    <cellStyle name="_tz 2" xfId="71" xr:uid="{00000000-0005-0000-0000-000013020000}"/>
    <cellStyle name="_tz 2 2" xfId="72" xr:uid="{00000000-0005-0000-0000-000014020000}"/>
    <cellStyle name="_tz 3" xfId="73" xr:uid="{00000000-0005-0000-0000-000015020000}"/>
    <cellStyle name="_u" xfId="45" xr:uid="{00000000-0005-0000-0000-000016020000}"/>
    <cellStyle name="_u 2" xfId="74" xr:uid="{00000000-0005-0000-0000-000017020000}"/>
    <cellStyle name="_u 2 2" xfId="75" xr:uid="{00000000-0005-0000-0000-000018020000}"/>
    <cellStyle name="_u 3" xfId="76" xr:uid="{00000000-0005-0000-0000-000019020000}"/>
    <cellStyle name="_UK 2007 Billets benchmark template Euro 09.05.07" xfId="611" xr:uid="{00000000-0005-0000-0000-00001A020000}"/>
    <cellStyle name="_UK 2007 Billets benchmark template Euro 09.05.07_adidas China savings TV" xfId="612" xr:uid="{00000000-0005-0000-0000-00001B020000}"/>
    <cellStyle name="_UK 2007 Billets benchmark template Euro 09.05.07_adidas China savings TV_Adidas China savings TV_Rohan" xfId="613" xr:uid="{00000000-0005-0000-0000-00001C020000}"/>
    <cellStyle name="_UK added value savings template 21.08.07 rev jac" xfId="614" xr:uid="{00000000-0005-0000-0000-00001D020000}"/>
    <cellStyle name="_UK added value savings template 21.08.07 rev jac_adidas China savings TV" xfId="615" xr:uid="{00000000-0005-0000-0000-00001E020000}"/>
    <cellStyle name="_UK added value savings template 21.08.07 rev jac_adidas China savings TV_Adidas China savings TV_Rohan" xfId="616" xr:uid="{00000000-0005-0000-0000-00001F020000}"/>
    <cellStyle name="_uz" xfId="46" xr:uid="{00000000-0005-0000-0000-000020020000}"/>
    <cellStyle name="_uz 2" xfId="77" xr:uid="{00000000-0005-0000-0000-000021020000}"/>
    <cellStyle name="_uz 2 2" xfId="78" xr:uid="{00000000-0005-0000-0000-000022020000}"/>
    <cellStyle name="_uz 3" xfId="79" xr:uid="{00000000-0005-0000-0000-000023020000}"/>
    <cellStyle name="_z" xfId="47" xr:uid="{00000000-0005-0000-0000-000024020000}"/>
    <cellStyle name="_z 2" xfId="80" xr:uid="{00000000-0005-0000-0000-000025020000}"/>
    <cellStyle name="_z 2 2" xfId="81" xr:uid="{00000000-0005-0000-0000-000026020000}"/>
    <cellStyle name="_z 3" xfId="82" xr:uid="{00000000-0005-0000-0000-000027020000}"/>
    <cellStyle name="1" xfId="617" xr:uid="{00000000-0005-0000-0000-000028020000}"/>
    <cellStyle name="1?" xfId="618" xr:uid="{00000000-0005-0000-0000-000029020000}"/>
    <cellStyle name="10" xfId="1007" xr:uid="{00000000-0005-0000-0000-00002A020000}"/>
    <cellStyle name="10 2" xfId="1320" xr:uid="{00000000-0005-0000-0000-00002B020000}"/>
    <cellStyle name="11" xfId="619" xr:uid="{00000000-0005-0000-0000-00002C020000}"/>
    <cellStyle name="11 2" xfId="1062" xr:uid="{00000000-0005-0000-0000-00002D020000}"/>
    <cellStyle name="11 3" xfId="1327" xr:uid="{00000000-0005-0000-0000-00002E020000}"/>
    <cellStyle name="12" xfId="1330" xr:uid="{00000000-0005-0000-0000-00002F020000}"/>
    <cellStyle name="13" xfId="1331" xr:uid="{00000000-0005-0000-0000-000030020000}"/>
    <cellStyle name="14" xfId="1322" xr:uid="{00000000-0005-0000-0000-000031020000}"/>
    <cellStyle name="15" xfId="620" xr:uid="{00000000-0005-0000-0000-000032020000}"/>
    <cellStyle name="16" xfId="621" xr:uid="{00000000-0005-0000-0000-000033020000}"/>
    <cellStyle name="16 2" xfId="1321" xr:uid="{00000000-0005-0000-0000-000034020000}"/>
    <cellStyle name="18" xfId="622" xr:uid="{00000000-0005-0000-0000-000035020000}"/>
    <cellStyle name="1월" xfId="623" xr:uid="{00000000-0005-0000-0000-000036020000}"/>
    <cellStyle name="2" xfId="624" xr:uid="{00000000-0005-0000-0000-000037020000}"/>
    <cellStyle name="20% - Accent1 2" xfId="83" xr:uid="{00000000-0005-0000-0000-000038020000}"/>
    <cellStyle name="20% - Accent1 2 2 2" xfId="1723" xr:uid="{00000000-0005-0000-0000-000039020000}"/>
    <cellStyle name="20% - Accent2 2" xfId="84" xr:uid="{00000000-0005-0000-0000-00003A020000}"/>
    <cellStyle name="20% - Accent3 2" xfId="85" xr:uid="{00000000-0005-0000-0000-00003B020000}"/>
    <cellStyle name="20% - Accent4 2" xfId="86" xr:uid="{00000000-0005-0000-0000-00003C020000}"/>
    <cellStyle name="20% - Accent5 2" xfId="87" xr:uid="{00000000-0005-0000-0000-00003D020000}"/>
    <cellStyle name="20% - Accent6 2" xfId="88" xr:uid="{00000000-0005-0000-0000-00003E020000}"/>
    <cellStyle name="20% - Cor1" xfId="625" xr:uid="{00000000-0005-0000-0000-00003F020000}"/>
    <cellStyle name="20% - Cor1 2" xfId="626" xr:uid="{00000000-0005-0000-0000-000040020000}"/>
    <cellStyle name="20% - Cor1_Market Performance" xfId="627" xr:uid="{00000000-0005-0000-0000-000041020000}"/>
    <cellStyle name="20% - Cor2" xfId="628" xr:uid="{00000000-0005-0000-0000-000042020000}"/>
    <cellStyle name="20% - Cor2 2" xfId="629" xr:uid="{00000000-0005-0000-0000-000043020000}"/>
    <cellStyle name="20% - Cor2_Market Performance" xfId="630" xr:uid="{00000000-0005-0000-0000-000044020000}"/>
    <cellStyle name="20% - Cor3" xfId="631" xr:uid="{00000000-0005-0000-0000-000045020000}"/>
    <cellStyle name="20% - Cor3 2" xfId="632" xr:uid="{00000000-0005-0000-0000-000046020000}"/>
    <cellStyle name="20% - Cor3_Market Performance" xfId="633" xr:uid="{00000000-0005-0000-0000-000047020000}"/>
    <cellStyle name="20% - Cor4" xfId="634" xr:uid="{00000000-0005-0000-0000-000048020000}"/>
    <cellStyle name="20% - Cor4 2" xfId="635" xr:uid="{00000000-0005-0000-0000-000049020000}"/>
    <cellStyle name="20% - Cor4_Market Performance" xfId="636" xr:uid="{00000000-0005-0000-0000-00004A020000}"/>
    <cellStyle name="20% - Cor5" xfId="637" xr:uid="{00000000-0005-0000-0000-00004B020000}"/>
    <cellStyle name="20% - Cor5 2" xfId="638" xr:uid="{00000000-0005-0000-0000-00004C020000}"/>
    <cellStyle name="20% - Cor5_Market Performance" xfId="639" xr:uid="{00000000-0005-0000-0000-00004D020000}"/>
    <cellStyle name="20% - Cor6" xfId="640" xr:uid="{00000000-0005-0000-0000-00004E020000}"/>
    <cellStyle name="20% - Cor6 2" xfId="641" xr:uid="{00000000-0005-0000-0000-00004F020000}"/>
    <cellStyle name="20% - Cor6_Market Performance" xfId="642" xr:uid="{00000000-0005-0000-0000-000050020000}"/>
    <cellStyle name="20% - Énfasis1" xfId="14" builtinId="30" customBuiltin="1"/>
    <cellStyle name="20% - Énfasis2" xfId="17" builtinId="34" customBuiltin="1"/>
    <cellStyle name="20% - Énfasis3" xfId="20" builtinId="38" customBuiltin="1"/>
    <cellStyle name="20% - Énfasis4" xfId="23" builtinId="42" customBuiltin="1"/>
    <cellStyle name="20% - Énfasis5" xfId="26" builtinId="46" customBuiltin="1"/>
    <cellStyle name="20% - Énfasis6" xfId="29" builtinId="50" customBuiltin="1"/>
    <cellStyle name="22" xfId="643" xr:uid="{00000000-0005-0000-0000-000057020000}"/>
    <cellStyle name="23" xfId="644" xr:uid="{00000000-0005-0000-0000-000058020000}"/>
    <cellStyle name="3" xfId="645" xr:uid="{00000000-0005-0000-0000-000059020000}"/>
    <cellStyle name="3232" xfId="646" xr:uid="{00000000-0005-0000-0000-00005A020000}"/>
    <cellStyle name="4" xfId="647" xr:uid="{00000000-0005-0000-0000-00005B020000}"/>
    <cellStyle name="40% - Accent1 2" xfId="89" xr:uid="{00000000-0005-0000-0000-00005C020000}"/>
    <cellStyle name="40% - Accent2 2" xfId="90" xr:uid="{00000000-0005-0000-0000-00005D020000}"/>
    <cellStyle name="40% - Accent3 2" xfId="91" xr:uid="{00000000-0005-0000-0000-00005E020000}"/>
    <cellStyle name="40% - Accent4 2" xfId="92" xr:uid="{00000000-0005-0000-0000-00005F020000}"/>
    <cellStyle name="40% - Accent5 2" xfId="93" xr:uid="{00000000-0005-0000-0000-000060020000}"/>
    <cellStyle name="40% - Accent6 2" xfId="94" xr:uid="{00000000-0005-0000-0000-000061020000}"/>
    <cellStyle name="40% - Cor1" xfId="648" xr:uid="{00000000-0005-0000-0000-000062020000}"/>
    <cellStyle name="40% - Cor1 2" xfId="649" xr:uid="{00000000-0005-0000-0000-000063020000}"/>
    <cellStyle name="40% - Cor1_Market Performance" xfId="650" xr:uid="{00000000-0005-0000-0000-000064020000}"/>
    <cellStyle name="40% - Cor2" xfId="651" xr:uid="{00000000-0005-0000-0000-000065020000}"/>
    <cellStyle name="40% - Cor2 2" xfId="652" xr:uid="{00000000-0005-0000-0000-000066020000}"/>
    <cellStyle name="40% - Cor2_Market Performance" xfId="653" xr:uid="{00000000-0005-0000-0000-000067020000}"/>
    <cellStyle name="40% - Cor3" xfId="654" xr:uid="{00000000-0005-0000-0000-000068020000}"/>
    <cellStyle name="40% - Cor3 2" xfId="655" xr:uid="{00000000-0005-0000-0000-000069020000}"/>
    <cellStyle name="40% - Cor3_Market Performance" xfId="656" xr:uid="{00000000-0005-0000-0000-00006A020000}"/>
    <cellStyle name="40% - Cor4" xfId="657" xr:uid="{00000000-0005-0000-0000-00006B020000}"/>
    <cellStyle name="40% - Cor4 2" xfId="658" xr:uid="{00000000-0005-0000-0000-00006C020000}"/>
    <cellStyle name="40% - Cor4_Market Performance" xfId="659" xr:uid="{00000000-0005-0000-0000-00006D020000}"/>
    <cellStyle name="40% - Cor5" xfId="660" xr:uid="{00000000-0005-0000-0000-00006E020000}"/>
    <cellStyle name="40% - Cor5 2" xfId="661" xr:uid="{00000000-0005-0000-0000-00006F020000}"/>
    <cellStyle name="40% - Cor5_Market Performance" xfId="662" xr:uid="{00000000-0005-0000-0000-000070020000}"/>
    <cellStyle name="40% - Cor6" xfId="663" xr:uid="{00000000-0005-0000-0000-000071020000}"/>
    <cellStyle name="40% - Cor6 2" xfId="664" xr:uid="{00000000-0005-0000-0000-000072020000}"/>
    <cellStyle name="40% - Cor6_Market Performance" xfId="665" xr:uid="{00000000-0005-0000-0000-000073020000}"/>
    <cellStyle name="40% - Énfasis1" xfId="15" builtinId="31" customBuiltin="1"/>
    <cellStyle name="40% - Énfasis2" xfId="18" builtinId="35" customBuiltin="1"/>
    <cellStyle name="40% - Énfasis3" xfId="21" builtinId="39" customBuiltin="1"/>
    <cellStyle name="40% - Énfasis4" xfId="24" builtinId="43" customBuiltin="1"/>
    <cellStyle name="40% - Énfasis5" xfId="27" builtinId="47" customBuiltin="1"/>
    <cellStyle name="40% - Énfasis6" xfId="30" builtinId="51" customBuiltin="1"/>
    <cellStyle name="5" xfId="1332" xr:uid="{00000000-0005-0000-0000-00007A020000}"/>
    <cellStyle name="6" xfId="1328" xr:uid="{00000000-0005-0000-0000-00007B020000}"/>
    <cellStyle name="60% - Accent1 2" xfId="95" xr:uid="{00000000-0005-0000-0000-00007C020000}"/>
    <cellStyle name="60% - Accent2 2" xfId="96" xr:uid="{00000000-0005-0000-0000-00007D020000}"/>
    <cellStyle name="60% - Accent3 2" xfId="97" xr:uid="{00000000-0005-0000-0000-00007E020000}"/>
    <cellStyle name="60% - Accent4 2" xfId="98" xr:uid="{00000000-0005-0000-0000-00007F020000}"/>
    <cellStyle name="60% - Accent5 2" xfId="99" xr:uid="{00000000-0005-0000-0000-000080020000}"/>
    <cellStyle name="60% - Accent6 2" xfId="100" xr:uid="{00000000-0005-0000-0000-000081020000}"/>
    <cellStyle name="60% - Cor1" xfId="666" xr:uid="{00000000-0005-0000-0000-000082020000}"/>
    <cellStyle name="60% - Cor2" xfId="667" xr:uid="{00000000-0005-0000-0000-000083020000}"/>
    <cellStyle name="60% - Cor3" xfId="668" xr:uid="{00000000-0005-0000-0000-000084020000}"/>
    <cellStyle name="60% - Cor4" xfId="669" xr:uid="{00000000-0005-0000-0000-000085020000}"/>
    <cellStyle name="60% - Cor5" xfId="670" xr:uid="{00000000-0005-0000-0000-000086020000}"/>
    <cellStyle name="60% - Cor6" xfId="671" xr:uid="{00000000-0005-0000-0000-000087020000}"/>
    <cellStyle name="60% - Énfasis1 2" xfId="2510" xr:uid="{00000000-0005-0000-0000-000088020000}"/>
    <cellStyle name="60% - Énfasis1 3" xfId="2497" xr:uid="{00000000-0005-0000-0000-000089020000}"/>
    <cellStyle name="60% - Énfasis2 2" xfId="2511" xr:uid="{00000000-0005-0000-0000-00008A020000}"/>
    <cellStyle name="60% - Énfasis2 3" xfId="2498" xr:uid="{00000000-0005-0000-0000-00008B020000}"/>
    <cellStyle name="60% - Énfasis3 2" xfId="2512" xr:uid="{00000000-0005-0000-0000-00008C020000}"/>
    <cellStyle name="60% - Énfasis3 3" xfId="2499" xr:uid="{00000000-0005-0000-0000-00008D020000}"/>
    <cellStyle name="60% - Énfasis4 2" xfId="2513" xr:uid="{00000000-0005-0000-0000-00008E020000}"/>
    <cellStyle name="60% - Énfasis4 3" xfId="2500" xr:uid="{00000000-0005-0000-0000-00008F020000}"/>
    <cellStyle name="60% - Énfasis5 2" xfId="2514" xr:uid="{00000000-0005-0000-0000-000090020000}"/>
    <cellStyle name="60% - Énfasis5 3" xfId="2501" xr:uid="{00000000-0005-0000-0000-000091020000}"/>
    <cellStyle name="60% - Énfasis6 2" xfId="2515" xr:uid="{00000000-0005-0000-0000-000092020000}"/>
    <cellStyle name="60% - Énfasis6 3" xfId="2502" xr:uid="{00000000-0005-0000-0000-000093020000}"/>
    <cellStyle name="7" xfId="1326" xr:uid="{00000000-0005-0000-0000-000094020000}"/>
    <cellStyle name="8" xfId="1329" xr:uid="{00000000-0005-0000-0000-000095020000}"/>
    <cellStyle name="9" xfId="1008" xr:uid="{00000000-0005-0000-0000-000096020000}"/>
    <cellStyle name="9 2" xfId="1324" xr:uid="{00000000-0005-0000-0000-000097020000}"/>
    <cellStyle name="9 3" xfId="1335" xr:uid="{00000000-0005-0000-0000-000098020000}"/>
    <cellStyle name="A¨­???O [0]_¨oC???oPL " xfId="672" xr:uid="{00000000-0005-0000-0000-000099020000}"/>
    <cellStyle name="A¨­???O_¨oC???oPL " xfId="673" xr:uid="{00000000-0005-0000-0000-00009A020000}"/>
    <cellStyle name="A¨­￠￢￠O [0]_¨oC￠?ⓒoPL " xfId="674" xr:uid="{00000000-0005-0000-0000-00009B020000}"/>
    <cellStyle name="A¨­￠￢￠O_¨oC￠?ⓒoPL " xfId="675" xr:uid="{00000000-0005-0000-0000-00009C020000}"/>
    <cellStyle name="Accent1 2" xfId="101" xr:uid="{00000000-0005-0000-0000-00009D020000}"/>
    <cellStyle name="Accent2 2" xfId="102" xr:uid="{00000000-0005-0000-0000-00009E020000}"/>
    <cellStyle name="Accent3 2" xfId="53" xr:uid="{00000000-0005-0000-0000-00009F020000}"/>
    <cellStyle name="Accent4 2" xfId="103" xr:uid="{00000000-0005-0000-0000-0000A0020000}"/>
    <cellStyle name="Accent5 2" xfId="104" xr:uid="{00000000-0005-0000-0000-0000A1020000}"/>
    <cellStyle name="Accent6 2" xfId="105" xr:uid="{00000000-0005-0000-0000-0000A2020000}"/>
    <cellStyle name="Actual Date" xfId="676" xr:uid="{00000000-0005-0000-0000-0000A3020000}"/>
    <cellStyle name="AeE­ [0]_½C¿¹PL " xfId="677" xr:uid="{00000000-0005-0000-0000-0000A4020000}"/>
    <cellStyle name="AeE­_½C¿¹PL " xfId="678" xr:uid="{00000000-0005-0000-0000-0000A5020000}"/>
    <cellStyle name="AeE¡? [0]_¨oC???oPL " xfId="679" xr:uid="{00000000-0005-0000-0000-0000A6020000}"/>
    <cellStyle name="AeE¡?_¨oC???oPL " xfId="680" xr:uid="{00000000-0005-0000-0000-0000A7020000}"/>
    <cellStyle name="AeE¡ⓒ [0]_¨oC￠?ⓒoPL " xfId="681" xr:uid="{00000000-0005-0000-0000-0000A8020000}"/>
    <cellStyle name="AeE¡ⓒ_¨oC￠?ⓒoPL " xfId="682" xr:uid="{00000000-0005-0000-0000-0000A9020000}"/>
    <cellStyle name="AFE" xfId="1063" xr:uid="{00000000-0005-0000-0000-0000AA020000}"/>
    <cellStyle name="AFE 2" xfId="1064" xr:uid="{00000000-0005-0000-0000-0000AB020000}"/>
    <cellStyle name="AÞ¸¶ [0]_½C¿¹PL " xfId="683" xr:uid="{00000000-0005-0000-0000-0000AC020000}"/>
    <cellStyle name="AÞ¸¶_½C¿¹PL " xfId="684" xr:uid="{00000000-0005-0000-0000-0000AD020000}"/>
    <cellStyle name="Bad 2" xfId="106" xr:uid="{00000000-0005-0000-0000-0000AE020000}"/>
    <cellStyle name="Bueno" xfId="6" builtinId="26" customBuiltin="1"/>
    <cellStyle name="Bueno 2" xfId="1718" xr:uid="{00000000-0005-0000-0000-0000B0020000}"/>
    <cellStyle name="C?AØ_¿?¶o¸A_ANCO°e " xfId="685" xr:uid="{00000000-0005-0000-0000-0000B1020000}"/>
    <cellStyle name="C¡IA¨ª_¨oC???oPL " xfId="686" xr:uid="{00000000-0005-0000-0000-0000B2020000}"/>
    <cellStyle name="C￥AØ_¿￢¶o¸A_ANCO°e " xfId="687" xr:uid="{00000000-0005-0000-0000-0000B3020000}"/>
    <cellStyle name="Cabeçalho 1" xfId="688" xr:uid="{00000000-0005-0000-0000-0000B4020000}"/>
    <cellStyle name="Cabeçalho 2" xfId="689" xr:uid="{00000000-0005-0000-0000-0000B5020000}"/>
    <cellStyle name="Cabeçalho 3" xfId="690" xr:uid="{00000000-0005-0000-0000-0000B6020000}"/>
    <cellStyle name="Cabeçalho 4" xfId="691" xr:uid="{00000000-0005-0000-0000-0000B7020000}"/>
    <cellStyle name="Calculation 2" xfId="107" xr:uid="{00000000-0005-0000-0000-0000B8020000}"/>
    <cellStyle name="Cálculo 2" xfId="2495" xr:uid="{00000000-0005-0000-0000-0000BA020000}"/>
    <cellStyle name="Cálculo 3" xfId="692" xr:uid="{00000000-0005-0000-0000-0000B9020000}"/>
    <cellStyle name="Celda de comprobación" xfId="9" builtinId="23" customBuiltin="1"/>
    <cellStyle name="Celda vinculada" xfId="8" builtinId="24" customBuiltin="1"/>
    <cellStyle name="Célula Ligada" xfId="693" xr:uid="{00000000-0005-0000-0000-0000BD020000}"/>
    <cellStyle name="CHANGE" xfId="694" xr:uid="{00000000-0005-0000-0000-0000BE020000}"/>
    <cellStyle name="Check Cell 2" xfId="108" xr:uid="{00000000-0005-0000-0000-0000BF020000}"/>
    <cellStyle name="columns_array" xfId="695" xr:uid="{00000000-0005-0000-0000-0000C0020000}"/>
    <cellStyle name="Comma 2" xfId="38" xr:uid="{00000000-0005-0000-0000-0000C1020000}"/>
    <cellStyle name="Comma 2 2" xfId="52" xr:uid="{00000000-0005-0000-0000-0000C2020000}"/>
    <cellStyle name="Comma 2 2 2" xfId="109" xr:uid="{00000000-0005-0000-0000-0000C3020000}"/>
    <cellStyle name="Comma 2 2 2 2" xfId="820" xr:uid="{00000000-0005-0000-0000-0000C4020000}"/>
    <cellStyle name="Comma 2 2 2 2 2" xfId="854" xr:uid="{00000000-0005-0000-0000-0000C5020000}"/>
    <cellStyle name="Comma 2 2 2 2 2 2" xfId="1174" xr:uid="{00000000-0005-0000-0000-0000C6020000}"/>
    <cellStyle name="Comma 2 2 2 2 2 2 2" xfId="1652" xr:uid="{00000000-0005-0000-0000-0000C7020000}"/>
    <cellStyle name="Comma 2 2 2 2 2 2 2 2" xfId="2425" xr:uid="{00000000-0005-0000-0000-0000C8020000}"/>
    <cellStyle name="Comma 2 2 2 2 2 2 3" xfId="1450" xr:uid="{00000000-0005-0000-0000-0000C9020000}"/>
    <cellStyle name="Comma 2 2 2 2 2 2 3 2" xfId="2225" xr:uid="{00000000-0005-0000-0000-0000CA020000}"/>
    <cellStyle name="Comma 2 2 2 2 2 2 4" xfId="1977" xr:uid="{00000000-0005-0000-0000-0000CB020000}"/>
    <cellStyle name="Comma 2 2 2 2 2 3" xfId="971" xr:uid="{00000000-0005-0000-0000-0000CC020000}"/>
    <cellStyle name="Comma 2 2 2 2 2 3 2" xfId="1575" xr:uid="{00000000-0005-0000-0000-0000CD020000}"/>
    <cellStyle name="Comma 2 2 2 2 2 3 2 2" xfId="2348" xr:uid="{00000000-0005-0000-0000-0000CE020000}"/>
    <cellStyle name="Comma 2 2 2 2 2 3 3" xfId="1804" xr:uid="{00000000-0005-0000-0000-0000CF020000}"/>
    <cellStyle name="Comma 2 2 2 2 2 4" xfId="1544" xr:uid="{00000000-0005-0000-0000-0000D0020000}"/>
    <cellStyle name="Comma 2 2 2 2 2 4 2" xfId="2318" xr:uid="{00000000-0005-0000-0000-0000D1020000}"/>
    <cellStyle name="Comma 2 2 2 2 2 5" xfId="1373" xr:uid="{00000000-0005-0000-0000-0000D2020000}"/>
    <cellStyle name="Comma 2 2 2 2 2 5 2" xfId="2148" xr:uid="{00000000-0005-0000-0000-0000D3020000}"/>
    <cellStyle name="Comma 2 2 2 2 2 6" xfId="1764" xr:uid="{00000000-0005-0000-0000-0000D4020000}"/>
    <cellStyle name="Comma 2 2 2 2 3" xfId="1073" xr:uid="{00000000-0005-0000-0000-0000D5020000}"/>
    <cellStyle name="Comma 2 2 2 2 3 2" xfId="1248" xr:uid="{00000000-0005-0000-0000-0000D6020000}"/>
    <cellStyle name="Comma 2 2 2 2 3 2 2" xfId="1682" xr:uid="{00000000-0005-0000-0000-0000D7020000}"/>
    <cellStyle name="Comma 2 2 2 2 3 2 2 2" xfId="2455" xr:uid="{00000000-0005-0000-0000-0000D8020000}"/>
    <cellStyle name="Comma 2 2 2 2 3 2 3" xfId="1480" xr:uid="{00000000-0005-0000-0000-0000D9020000}"/>
    <cellStyle name="Comma 2 2 2 2 3 2 3 2" xfId="2255" xr:uid="{00000000-0005-0000-0000-0000DA020000}"/>
    <cellStyle name="Comma 2 2 2 2 3 2 4" xfId="2051" xr:uid="{00000000-0005-0000-0000-0000DB020000}"/>
    <cellStyle name="Comma 2 2 2 2 3 3" xfId="1605" xr:uid="{00000000-0005-0000-0000-0000DC020000}"/>
    <cellStyle name="Comma 2 2 2 2 3 3 2" xfId="2378" xr:uid="{00000000-0005-0000-0000-0000DD020000}"/>
    <cellStyle name="Comma 2 2 2 2 3 4" xfId="1403" xr:uid="{00000000-0005-0000-0000-0000DE020000}"/>
    <cellStyle name="Comma 2 2 2 2 3 4 2" xfId="2178" xr:uid="{00000000-0005-0000-0000-0000DF020000}"/>
    <cellStyle name="Comma 2 2 2 2 3 5" xfId="1876" xr:uid="{00000000-0005-0000-0000-0000E0020000}"/>
    <cellStyle name="Comma 2 2 2 2 4" xfId="1147" xr:uid="{00000000-0005-0000-0000-0000E1020000}"/>
    <cellStyle name="Comma 2 2 2 2 4 2" xfId="1635" xr:uid="{00000000-0005-0000-0000-0000E2020000}"/>
    <cellStyle name="Comma 2 2 2 2 4 2 2" xfId="2408" xr:uid="{00000000-0005-0000-0000-0000E3020000}"/>
    <cellStyle name="Comma 2 2 2 2 4 3" xfId="1433" xr:uid="{00000000-0005-0000-0000-0000E4020000}"/>
    <cellStyle name="Comma 2 2 2 2 4 3 2" xfId="2208" xr:uid="{00000000-0005-0000-0000-0000E5020000}"/>
    <cellStyle name="Comma 2 2 2 2 4 4" xfId="1950" xr:uid="{00000000-0005-0000-0000-0000E6020000}"/>
    <cellStyle name="Comma 2 2 2 2 5" xfId="914" xr:uid="{00000000-0005-0000-0000-0000E7020000}"/>
    <cellStyle name="Comma 2 2 2 2 5 2" xfId="1558" xr:uid="{00000000-0005-0000-0000-0000E8020000}"/>
    <cellStyle name="Comma 2 2 2 2 5 2 2" xfId="2331" xr:uid="{00000000-0005-0000-0000-0000E9020000}"/>
    <cellStyle name="Comma 2 2 2 2 5 3" xfId="1781" xr:uid="{00000000-0005-0000-0000-0000EA020000}"/>
    <cellStyle name="Comma 2 2 2 2 6" xfId="1516" xr:uid="{00000000-0005-0000-0000-0000EB020000}"/>
    <cellStyle name="Comma 2 2 2 2 6 2" xfId="2290" xr:uid="{00000000-0005-0000-0000-0000EC020000}"/>
    <cellStyle name="Comma 2 2 2 2 7" xfId="1356" xr:uid="{00000000-0005-0000-0000-0000ED020000}"/>
    <cellStyle name="Comma 2 2 2 2 7 2" xfId="2131" xr:uid="{00000000-0005-0000-0000-0000EE020000}"/>
    <cellStyle name="Comma 2 2 2 2 8" xfId="1730" xr:uid="{00000000-0005-0000-0000-0000EF020000}"/>
    <cellStyle name="Comma 2 2 2 3" xfId="837" xr:uid="{00000000-0005-0000-0000-0000F0020000}"/>
    <cellStyle name="Comma 2 2 2 3 2" xfId="1530" xr:uid="{00000000-0005-0000-0000-0000F1020000}"/>
    <cellStyle name="Comma 2 2 2 3 2 2" xfId="2304" xr:uid="{00000000-0005-0000-0000-0000F2020000}"/>
    <cellStyle name="Comma 2 2 2 3 3" xfId="1747" xr:uid="{00000000-0005-0000-0000-0000F3020000}"/>
    <cellStyle name="Comma 2 2 3" xfId="818" xr:uid="{00000000-0005-0000-0000-0000F4020000}"/>
    <cellStyle name="Comma 2 2 3 2" xfId="852" xr:uid="{00000000-0005-0000-0000-0000F5020000}"/>
    <cellStyle name="Comma 2 2 3 2 2" xfId="1172" xr:uid="{00000000-0005-0000-0000-0000F6020000}"/>
    <cellStyle name="Comma 2 2 3 2 2 2" xfId="1650" xr:uid="{00000000-0005-0000-0000-0000F7020000}"/>
    <cellStyle name="Comma 2 2 3 2 2 2 2" xfId="2423" xr:uid="{00000000-0005-0000-0000-0000F8020000}"/>
    <cellStyle name="Comma 2 2 3 2 2 3" xfId="1448" xr:uid="{00000000-0005-0000-0000-0000F9020000}"/>
    <cellStyle name="Comma 2 2 3 2 2 3 2" xfId="2223" xr:uid="{00000000-0005-0000-0000-0000FA020000}"/>
    <cellStyle name="Comma 2 2 3 2 2 4" xfId="1975" xr:uid="{00000000-0005-0000-0000-0000FB020000}"/>
    <cellStyle name="Comma 2 2 3 2 3" xfId="969" xr:uid="{00000000-0005-0000-0000-0000FC020000}"/>
    <cellStyle name="Comma 2 2 3 2 3 2" xfId="1573" xr:uid="{00000000-0005-0000-0000-0000FD020000}"/>
    <cellStyle name="Comma 2 2 3 2 3 2 2" xfId="2346" xr:uid="{00000000-0005-0000-0000-0000FE020000}"/>
    <cellStyle name="Comma 2 2 3 2 3 3" xfId="1802" xr:uid="{00000000-0005-0000-0000-0000FF020000}"/>
    <cellStyle name="Comma 2 2 3 2 4" xfId="1542" xr:uid="{00000000-0005-0000-0000-000000030000}"/>
    <cellStyle name="Comma 2 2 3 2 4 2" xfId="2316" xr:uid="{00000000-0005-0000-0000-000001030000}"/>
    <cellStyle name="Comma 2 2 3 2 5" xfId="1371" xr:uid="{00000000-0005-0000-0000-000002030000}"/>
    <cellStyle name="Comma 2 2 3 2 5 2" xfId="2146" xr:uid="{00000000-0005-0000-0000-000003030000}"/>
    <cellStyle name="Comma 2 2 3 2 6" xfId="1762" xr:uid="{00000000-0005-0000-0000-000004030000}"/>
    <cellStyle name="Comma 2 2 3 3" xfId="1071" xr:uid="{00000000-0005-0000-0000-000005030000}"/>
    <cellStyle name="Comma 2 2 3 3 2" xfId="1246" xr:uid="{00000000-0005-0000-0000-000006030000}"/>
    <cellStyle name="Comma 2 2 3 3 2 2" xfId="1680" xr:uid="{00000000-0005-0000-0000-000007030000}"/>
    <cellStyle name="Comma 2 2 3 3 2 2 2" xfId="2453" xr:uid="{00000000-0005-0000-0000-000008030000}"/>
    <cellStyle name="Comma 2 2 3 3 2 3" xfId="1478" xr:uid="{00000000-0005-0000-0000-000009030000}"/>
    <cellStyle name="Comma 2 2 3 3 2 3 2" xfId="2253" xr:uid="{00000000-0005-0000-0000-00000A030000}"/>
    <cellStyle name="Comma 2 2 3 3 2 4" xfId="2049" xr:uid="{00000000-0005-0000-0000-00000B030000}"/>
    <cellStyle name="Comma 2 2 3 3 3" xfId="1603" xr:uid="{00000000-0005-0000-0000-00000C030000}"/>
    <cellStyle name="Comma 2 2 3 3 3 2" xfId="2376" xr:uid="{00000000-0005-0000-0000-00000D030000}"/>
    <cellStyle name="Comma 2 2 3 3 4" xfId="1401" xr:uid="{00000000-0005-0000-0000-00000E030000}"/>
    <cellStyle name="Comma 2 2 3 3 4 2" xfId="2176" xr:uid="{00000000-0005-0000-0000-00000F030000}"/>
    <cellStyle name="Comma 2 2 3 3 5" xfId="1874" xr:uid="{00000000-0005-0000-0000-000010030000}"/>
    <cellStyle name="Comma 2 2 3 4" xfId="1145" xr:uid="{00000000-0005-0000-0000-000011030000}"/>
    <cellStyle name="Comma 2 2 3 4 2" xfId="1633" xr:uid="{00000000-0005-0000-0000-000012030000}"/>
    <cellStyle name="Comma 2 2 3 4 2 2" xfId="2406" xr:uid="{00000000-0005-0000-0000-000013030000}"/>
    <cellStyle name="Comma 2 2 3 4 3" xfId="1431" xr:uid="{00000000-0005-0000-0000-000014030000}"/>
    <cellStyle name="Comma 2 2 3 4 3 2" xfId="2206" xr:uid="{00000000-0005-0000-0000-000015030000}"/>
    <cellStyle name="Comma 2 2 3 4 4" xfId="1948" xr:uid="{00000000-0005-0000-0000-000016030000}"/>
    <cellStyle name="Comma 2 2 3 5" xfId="912" xr:uid="{00000000-0005-0000-0000-000017030000}"/>
    <cellStyle name="Comma 2 2 3 5 2" xfId="1556" xr:uid="{00000000-0005-0000-0000-000018030000}"/>
    <cellStyle name="Comma 2 2 3 5 2 2" xfId="2329" xr:uid="{00000000-0005-0000-0000-000019030000}"/>
    <cellStyle name="Comma 2 2 3 5 3" xfId="1779" xr:uid="{00000000-0005-0000-0000-00001A030000}"/>
    <cellStyle name="Comma 2 2 3 6" xfId="1514" xr:uid="{00000000-0005-0000-0000-00001B030000}"/>
    <cellStyle name="Comma 2 2 3 6 2" xfId="2288" xr:uid="{00000000-0005-0000-0000-00001C030000}"/>
    <cellStyle name="Comma 2 2 3 7" xfId="1354" xr:uid="{00000000-0005-0000-0000-00001D030000}"/>
    <cellStyle name="Comma 2 2 3 7 2" xfId="2129" xr:uid="{00000000-0005-0000-0000-00001E030000}"/>
    <cellStyle name="Comma 2 2 3 8" xfId="1728" xr:uid="{00000000-0005-0000-0000-00001F030000}"/>
    <cellStyle name="Comma 2 2 4" xfId="835" xr:uid="{00000000-0005-0000-0000-000020030000}"/>
    <cellStyle name="Comma 2 2 4 2" xfId="1142" xr:uid="{00000000-0005-0000-0000-000021030000}"/>
    <cellStyle name="Comma 2 2 4 2 2" xfId="1317" xr:uid="{00000000-0005-0000-0000-000022030000}"/>
    <cellStyle name="Comma 2 2 4 2 2 2" xfId="1708" xr:uid="{00000000-0005-0000-0000-000023030000}"/>
    <cellStyle name="Comma 2 2 4 2 2 2 2" xfId="2481" xr:uid="{00000000-0005-0000-0000-000024030000}"/>
    <cellStyle name="Comma 2 2 4 2 2 3" xfId="1506" xr:uid="{00000000-0005-0000-0000-000025030000}"/>
    <cellStyle name="Comma 2 2 4 2 2 3 2" xfId="2281" xr:uid="{00000000-0005-0000-0000-000026030000}"/>
    <cellStyle name="Comma 2 2 4 2 2 4" xfId="2120" xr:uid="{00000000-0005-0000-0000-000027030000}"/>
    <cellStyle name="Comma 2 2 4 2 3" xfId="1631" xr:uid="{00000000-0005-0000-0000-000028030000}"/>
    <cellStyle name="Comma 2 2 4 2 3 2" xfId="2404" xr:uid="{00000000-0005-0000-0000-000029030000}"/>
    <cellStyle name="Comma 2 2 4 2 4" xfId="1429" xr:uid="{00000000-0005-0000-0000-00002A030000}"/>
    <cellStyle name="Comma 2 2 4 2 4 2" xfId="2204" xr:uid="{00000000-0005-0000-0000-00002B030000}"/>
    <cellStyle name="Comma 2 2 4 2 5" xfId="1945" xr:uid="{00000000-0005-0000-0000-00002C030000}"/>
    <cellStyle name="Comma 2 2 4 3" xfId="1243" xr:uid="{00000000-0005-0000-0000-00002D030000}"/>
    <cellStyle name="Comma 2 2 4 3 2" xfId="1678" xr:uid="{00000000-0005-0000-0000-00002E030000}"/>
    <cellStyle name="Comma 2 2 4 3 2 2" xfId="2451" xr:uid="{00000000-0005-0000-0000-00002F030000}"/>
    <cellStyle name="Comma 2 2 4 3 3" xfId="1476" xr:uid="{00000000-0005-0000-0000-000030030000}"/>
    <cellStyle name="Comma 2 2 4 3 3 2" xfId="2251" xr:uid="{00000000-0005-0000-0000-000031030000}"/>
    <cellStyle name="Comma 2 2 4 3 4" xfId="2046" xr:uid="{00000000-0005-0000-0000-000032030000}"/>
    <cellStyle name="Comma 2 2 4 4" xfId="1065" xr:uid="{00000000-0005-0000-0000-000033030000}"/>
    <cellStyle name="Comma 2 2 4 4 2" xfId="1601" xr:uid="{00000000-0005-0000-0000-000034030000}"/>
    <cellStyle name="Comma 2 2 4 4 2 2" xfId="2374" xr:uid="{00000000-0005-0000-0000-000035030000}"/>
    <cellStyle name="Comma 2 2 4 4 3" xfId="1871" xr:uid="{00000000-0005-0000-0000-000036030000}"/>
    <cellStyle name="Comma 2 2 4 5" xfId="1528" xr:uid="{00000000-0005-0000-0000-000037030000}"/>
    <cellStyle name="Comma 2 2 4 5 2" xfId="2302" xr:uid="{00000000-0005-0000-0000-000038030000}"/>
    <cellStyle name="Comma 2 2 4 6" xfId="1399" xr:uid="{00000000-0005-0000-0000-000039030000}"/>
    <cellStyle name="Comma 2 2 4 6 2" xfId="2174" xr:uid="{00000000-0005-0000-0000-00003A030000}"/>
    <cellStyle name="Comma 2 2 4 7" xfId="1745" xr:uid="{00000000-0005-0000-0000-00003B030000}"/>
    <cellStyle name="Comma 2 3" xfId="110" xr:uid="{00000000-0005-0000-0000-00003C030000}"/>
    <cellStyle name="Comma 2 3 2" xfId="821" xr:uid="{00000000-0005-0000-0000-00003D030000}"/>
    <cellStyle name="Comma 2 3 2 2" xfId="855" xr:uid="{00000000-0005-0000-0000-00003E030000}"/>
    <cellStyle name="Comma 2 3 2 2 2" xfId="1175" xr:uid="{00000000-0005-0000-0000-00003F030000}"/>
    <cellStyle name="Comma 2 3 2 2 2 2" xfId="1653" xr:uid="{00000000-0005-0000-0000-000040030000}"/>
    <cellStyle name="Comma 2 3 2 2 2 2 2" xfId="2426" xr:uid="{00000000-0005-0000-0000-000041030000}"/>
    <cellStyle name="Comma 2 3 2 2 2 3" xfId="1451" xr:uid="{00000000-0005-0000-0000-000042030000}"/>
    <cellStyle name="Comma 2 3 2 2 2 3 2" xfId="2226" xr:uid="{00000000-0005-0000-0000-000043030000}"/>
    <cellStyle name="Comma 2 3 2 2 2 4" xfId="1978" xr:uid="{00000000-0005-0000-0000-000044030000}"/>
    <cellStyle name="Comma 2 3 2 2 3" xfId="972" xr:uid="{00000000-0005-0000-0000-000045030000}"/>
    <cellStyle name="Comma 2 3 2 2 3 2" xfId="1576" xr:uid="{00000000-0005-0000-0000-000046030000}"/>
    <cellStyle name="Comma 2 3 2 2 3 2 2" xfId="2349" xr:uid="{00000000-0005-0000-0000-000047030000}"/>
    <cellStyle name="Comma 2 3 2 2 3 3" xfId="1805" xr:uid="{00000000-0005-0000-0000-000048030000}"/>
    <cellStyle name="Comma 2 3 2 2 4" xfId="1545" xr:uid="{00000000-0005-0000-0000-000049030000}"/>
    <cellStyle name="Comma 2 3 2 2 4 2" xfId="2319" xr:uid="{00000000-0005-0000-0000-00004A030000}"/>
    <cellStyle name="Comma 2 3 2 2 5" xfId="1374" xr:uid="{00000000-0005-0000-0000-00004B030000}"/>
    <cellStyle name="Comma 2 3 2 2 5 2" xfId="2149" xr:uid="{00000000-0005-0000-0000-00004C030000}"/>
    <cellStyle name="Comma 2 3 2 2 6" xfId="1765" xr:uid="{00000000-0005-0000-0000-00004D030000}"/>
    <cellStyle name="Comma 2 3 2 3" xfId="1074" xr:uid="{00000000-0005-0000-0000-00004E030000}"/>
    <cellStyle name="Comma 2 3 2 3 2" xfId="1249" xr:uid="{00000000-0005-0000-0000-00004F030000}"/>
    <cellStyle name="Comma 2 3 2 3 2 2" xfId="1683" xr:uid="{00000000-0005-0000-0000-000050030000}"/>
    <cellStyle name="Comma 2 3 2 3 2 2 2" xfId="2456" xr:uid="{00000000-0005-0000-0000-000051030000}"/>
    <cellStyle name="Comma 2 3 2 3 2 3" xfId="1481" xr:uid="{00000000-0005-0000-0000-000052030000}"/>
    <cellStyle name="Comma 2 3 2 3 2 3 2" xfId="2256" xr:uid="{00000000-0005-0000-0000-000053030000}"/>
    <cellStyle name="Comma 2 3 2 3 2 4" xfId="2052" xr:uid="{00000000-0005-0000-0000-000054030000}"/>
    <cellStyle name="Comma 2 3 2 3 3" xfId="1606" xr:uid="{00000000-0005-0000-0000-000055030000}"/>
    <cellStyle name="Comma 2 3 2 3 3 2" xfId="2379" xr:uid="{00000000-0005-0000-0000-000056030000}"/>
    <cellStyle name="Comma 2 3 2 3 4" xfId="1404" xr:uid="{00000000-0005-0000-0000-000057030000}"/>
    <cellStyle name="Comma 2 3 2 3 4 2" xfId="2179" xr:uid="{00000000-0005-0000-0000-000058030000}"/>
    <cellStyle name="Comma 2 3 2 3 5" xfId="1877" xr:uid="{00000000-0005-0000-0000-000059030000}"/>
    <cellStyle name="Comma 2 3 2 4" xfId="1148" xr:uid="{00000000-0005-0000-0000-00005A030000}"/>
    <cellStyle name="Comma 2 3 2 4 2" xfId="1636" xr:uid="{00000000-0005-0000-0000-00005B030000}"/>
    <cellStyle name="Comma 2 3 2 4 2 2" xfId="2409" xr:uid="{00000000-0005-0000-0000-00005C030000}"/>
    <cellStyle name="Comma 2 3 2 4 3" xfId="1434" xr:uid="{00000000-0005-0000-0000-00005D030000}"/>
    <cellStyle name="Comma 2 3 2 4 3 2" xfId="2209" xr:uid="{00000000-0005-0000-0000-00005E030000}"/>
    <cellStyle name="Comma 2 3 2 4 4" xfId="1951" xr:uid="{00000000-0005-0000-0000-00005F030000}"/>
    <cellStyle name="Comma 2 3 2 5" xfId="915" xr:uid="{00000000-0005-0000-0000-000060030000}"/>
    <cellStyle name="Comma 2 3 2 5 2" xfId="1559" xr:uid="{00000000-0005-0000-0000-000061030000}"/>
    <cellStyle name="Comma 2 3 2 5 2 2" xfId="2332" xr:uid="{00000000-0005-0000-0000-000062030000}"/>
    <cellStyle name="Comma 2 3 2 5 3" xfId="1782" xr:uid="{00000000-0005-0000-0000-000063030000}"/>
    <cellStyle name="Comma 2 3 2 6" xfId="1517" xr:uid="{00000000-0005-0000-0000-000064030000}"/>
    <cellStyle name="Comma 2 3 2 6 2" xfId="2291" xr:uid="{00000000-0005-0000-0000-000065030000}"/>
    <cellStyle name="Comma 2 3 2 7" xfId="1357" xr:uid="{00000000-0005-0000-0000-000066030000}"/>
    <cellStyle name="Comma 2 3 2 7 2" xfId="2132" xr:uid="{00000000-0005-0000-0000-000067030000}"/>
    <cellStyle name="Comma 2 3 2 8" xfId="1731" xr:uid="{00000000-0005-0000-0000-000068030000}"/>
    <cellStyle name="Comma 2 3 3" xfId="838" xr:uid="{00000000-0005-0000-0000-000069030000}"/>
    <cellStyle name="Comma 2 3 3 2" xfId="1531" xr:uid="{00000000-0005-0000-0000-00006A030000}"/>
    <cellStyle name="Comma 2 3 3 2 2" xfId="2305" xr:uid="{00000000-0005-0000-0000-00006B030000}"/>
    <cellStyle name="Comma 2 3 3 3" xfId="1748" xr:uid="{00000000-0005-0000-0000-00006C030000}"/>
    <cellStyle name="Comma 2 4" xfId="930" xr:uid="{00000000-0005-0000-0000-00006D030000}"/>
    <cellStyle name="Comma 2 4 2" xfId="987" xr:uid="{00000000-0005-0000-0000-00006E030000}"/>
    <cellStyle name="Comma 2 4 2 2" xfId="1192" xr:uid="{00000000-0005-0000-0000-00006F030000}"/>
    <cellStyle name="Comma 2 4 2 2 2" xfId="1663" xr:uid="{00000000-0005-0000-0000-000070030000}"/>
    <cellStyle name="Comma 2 4 2 2 2 2" xfId="2436" xr:uid="{00000000-0005-0000-0000-000071030000}"/>
    <cellStyle name="Comma 2 4 2 2 3" xfId="1461" xr:uid="{00000000-0005-0000-0000-000072030000}"/>
    <cellStyle name="Comma 2 4 2 2 3 2" xfId="2236" xr:uid="{00000000-0005-0000-0000-000073030000}"/>
    <cellStyle name="Comma 2 4 2 2 4" xfId="1995" xr:uid="{00000000-0005-0000-0000-000074030000}"/>
    <cellStyle name="Comma 2 4 2 3" xfId="1586" xr:uid="{00000000-0005-0000-0000-000075030000}"/>
    <cellStyle name="Comma 2 4 2 3 2" xfId="2359" xr:uid="{00000000-0005-0000-0000-000076030000}"/>
    <cellStyle name="Comma 2 4 2 4" xfId="1384" xr:uid="{00000000-0005-0000-0000-000077030000}"/>
    <cellStyle name="Comma 2 4 2 4 2" xfId="2159" xr:uid="{00000000-0005-0000-0000-000078030000}"/>
    <cellStyle name="Comma 2 4 2 5" xfId="1820" xr:uid="{00000000-0005-0000-0000-000079030000}"/>
    <cellStyle name="Comma 2 4 3" xfId="1091" xr:uid="{00000000-0005-0000-0000-00007A030000}"/>
    <cellStyle name="Comma 2 4 3 2" xfId="1266" xr:uid="{00000000-0005-0000-0000-00007B030000}"/>
    <cellStyle name="Comma 2 4 3 2 2" xfId="1693" xr:uid="{00000000-0005-0000-0000-00007C030000}"/>
    <cellStyle name="Comma 2 4 3 2 2 2" xfId="2466" xr:uid="{00000000-0005-0000-0000-00007D030000}"/>
    <cellStyle name="Comma 2 4 3 2 3" xfId="1491" xr:uid="{00000000-0005-0000-0000-00007E030000}"/>
    <cellStyle name="Comma 2 4 3 2 3 2" xfId="2266" xr:uid="{00000000-0005-0000-0000-00007F030000}"/>
    <cellStyle name="Comma 2 4 3 2 4" xfId="2069" xr:uid="{00000000-0005-0000-0000-000080030000}"/>
    <cellStyle name="Comma 2 4 3 3" xfId="1616" xr:uid="{00000000-0005-0000-0000-000081030000}"/>
    <cellStyle name="Comma 2 4 3 3 2" xfId="2389" xr:uid="{00000000-0005-0000-0000-000082030000}"/>
    <cellStyle name="Comma 2 4 3 4" xfId="1414" xr:uid="{00000000-0005-0000-0000-000083030000}"/>
    <cellStyle name="Comma 2 4 3 4 2" xfId="2189" xr:uid="{00000000-0005-0000-0000-000084030000}"/>
    <cellStyle name="Comma 2 4 3 5" xfId="1894" xr:uid="{00000000-0005-0000-0000-000085030000}"/>
    <cellStyle name="Comma 2 4 4" xfId="1165" xr:uid="{00000000-0005-0000-0000-000086030000}"/>
    <cellStyle name="Comma 2 4 4 2" xfId="1646" xr:uid="{00000000-0005-0000-0000-000087030000}"/>
    <cellStyle name="Comma 2 4 4 2 2" xfId="2419" xr:uid="{00000000-0005-0000-0000-000088030000}"/>
    <cellStyle name="Comma 2 4 4 3" xfId="1444" xr:uid="{00000000-0005-0000-0000-000089030000}"/>
    <cellStyle name="Comma 2 4 4 3 2" xfId="2219" xr:uid="{00000000-0005-0000-0000-00008A030000}"/>
    <cellStyle name="Comma 2 4 4 4" xfId="1968" xr:uid="{00000000-0005-0000-0000-00008B030000}"/>
    <cellStyle name="Comma 2 4 5" xfId="1351" xr:uid="{00000000-0005-0000-0000-00008C030000}"/>
    <cellStyle name="Comma 2 4 5 2" xfId="1715" xr:uid="{00000000-0005-0000-0000-00008D030000}"/>
    <cellStyle name="Comma 2 4 5 2 2" xfId="2485" xr:uid="{00000000-0005-0000-0000-00008E030000}"/>
    <cellStyle name="Comma 2 4 5 3" xfId="1510" xr:uid="{00000000-0005-0000-0000-00008F030000}"/>
    <cellStyle name="Comma 2 4 5 3 2" xfId="2285" xr:uid="{00000000-0005-0000-0000-000090030000}"/>
    <cellStyle name="Comma 2 4 5 4" xfId="2127" xr:uid="{00000000-0005-0000-0000-000091030000}"/>
    <cellStyle name="Comma 2 4 6" xfId="1569" xr:uid="{00000000-0005-0000-0000-000092030000}"/>
    <cellStyle name="Comma 2 4 6 2" xfId="2342" xr:uid="{00000000-0005-0000-0000-000093030000}"/>
    <cellStyle name="Comma 2 4 7" xfId="1367" xr:uid="{00000000-0005-0000-0000-000094030000}"/>
    <cellStyle name="Comma 2 4 7 2" xfId="2142" xr:uid="{00000000-0005-0000-0000-000095030000}"/>
    <cellStyle name="Comma 2 4 8" xfId="1795" xr:uid="{00000000-0005-0000-0000-000096030000}"/>
    <cellStyle name="Comma 2 5" xfId="1045" xr:uid="{00000000-0005-0000-0000-000097030000}"/>
    <cellStyle name="Comma 2 5 2" xfId="1131" xr:uid="{00000000-0005-0000-0000-000098030000}"/>
    <cellStyle name="Comma 2 5 2 2" xfId="1306" xr:uid="{00000000-0005-0000-0000-000099030000}"/>
    <cellStyle name="Comma 2 5 2 2 2" xfId="1705" xr:uid="{00000000-0005-0000-0000-00009A030000}"/>
    <cellStyle name="Comma 2 5 2 2 2 2" xfId="2478" xr:uid="{00000000-0005-0000-0000-00009B030000}"/>
    <cellStyle name="Comma 2 5 2 2 3" xfId="1503" xr:uid="{00000000-0005-0000-0000-00009C030000}"/>
    <cellStyle name="Comma 2 5 2 2 3 2" xfId="2278" xr:uid="{00000000-0005-0000-0000-00009D030000}"/>
    <cellStyle name="Comma 2 5 2 2 4" xfId="2109" xr:uid="{00000000-0005-0000-0000-00009E030000}"/>
    <cellStyle name="Comma 2 5 2 3" xfId="1628" xr:uid="{00000000-0005-0000-0000-00009F030000}"/>
    <cellStyle name="Comma 2 5 2 3 2" xfId="2401" xr:uid="{00000000-0005-0000-0000-0000A0030000}"/>
    <cellStyle name="Comma 2 5 2 4" xfId="1426" xr:uid="{00000000-0005-0000-0000-0000A1030000}"/>
    <cellStyle name="Comma 2 5 2 4 2" xfId="2201" xr:uid="{00000000-0005-0000-0000-0000A2030000}"/>
    <cellStyle name="Comma 2 5 2 5" xfId="1934" xr:uid="{00000000-0005-0000-0000-0000A3030000}"/>
    <cellStyle name="Comma 2 5 3" xfId="1232" xr:uid="{00000000-0005-0000-0000-0000A4030000}"/>
    <cellStyle name="Comma 2 5 3 2" xfId="1675" xr:uid="{00000000-0005-0000-0000-0000A5030000}"/>
    <cellStyle name="Comma 2 5 3 2 2" xfId="2448" xr:uid="{00000000-0005-0000-0000-0000A6030000}"/>
    <cellStyle name="Comma 2 5 3 3" xfId="1473" xr:uid="{00000000-0005-0000-0000-0000A7030000}"/>
    <cellStyle name="Comma 2 5 3 3 2" xfId="2248" xr:uid="{00000000-0005-0000-0000-0000A8030000}"/>
    <cellStyle name="Comma 2 5 3 4" xfId="2035" xr:uid="{00000000-0005-0000-0000-0000A9030000}"/>
    <cellStyle name="Comma 2 5 4" xfId="1598" xr:uid="{00000000-0005-0000-0000-0000AA030000}"/>
    <cellStyle name="Comma 2 5 4 2" xfId="2371" xr:uid="{00000000-0005-0000-0000-0000AB030000}"/>
    <cellStyle name="Comma 2 5 5" xfId="1396" xr:uid="{00000000-0005-0000-0000-0000AC030000}"/>
    <cellStyle name="Comma 2 5 5 2" xfId="2171" xr:uid="{00000000-0005-0000-0000-0000AD030000}"/>
    <cellStyle name="Comma 2 5 6" xfId="1860" xr:uid="{00000000-0005-0000-0000-0000AE030000}"/>
    <cellStyle name="Comma 3" xfId="111" xr:uid="{00000000-0005-0000-0000-0000AF030000}"/>
    <cellStyle name="Comma 3 2" xfId="696" xr:uid="{00000000-0005-0000-0000-0000B0030000}"/>
    <cellStyle name="Comma 3 2 2" xfId="825" xr:uid="{00000000-0005-0000-0000-0000B1030000}"/>
    <cellStyle name="Comma 3 2 2 2" xfId="859" xr:uid="{00000000-0005-0000-0000-0000B2030000}"/>
    <cellStyle name="Comma 3 2 2 2 2" xfId="1179" xr:uid="{00000000-0005-0000-0000-0000B3030000}"/>
    <cellStyle name="Comma 3 2 2 2 2 2" xfId="1656" xr:uid="{00000000-0005-0000-0000-0000B4030000}"/>
    <cellStyle name="Comma 3 2 2 2 2 2 2" xfId="2429" xr:uid="{00000000-0005-0000-0000-0000B5030000}"/>
    <cellStyle name="Comma 3 2 2 2 2 3" xfId="1454" xr:uid="{00000000-0005-0000-0000-0000B6030000}"/>
    <cellStyle name="Comma 3 2 2 2 2 3 2" xfId="2229" xr:uid="{00000000-0005-0000-0000-0000B7030000}"/>
    <cellStyle name="Comma 3 2 2 2 2 4" xfId="1982" xr:uid="{00000000-0005-0000-0000-0000B8030000}"/>
    <cellStyle name="Comma 3 2 2 2 3" xfId="976" xr:uid="{00000000-0005-0000-0000-0000B9030000}"/>
    <cellStyle name="Comma 3 2 2 2 3 2" xfId="1579" xr:uid="{00000000-0005-0000-0000-0000BA030000}"/>
    <cellStyle name="Comma 3 2 2 2 3 2 2" xfId="2352" xr:uid="{00000000-0005-0000-0000-0000BB030000}"/>
    <cellStyle name="Comma 3 2 2 2 3 3" xfId="1809" xr:uid="{00000000-0005-0000-0000-0000BC030000}"/>
    <cellStyle name="Comma 3 2 2 2 4" xfId="1548" xr:uid="{00000000-0005-0000-0000-0000BD030000}"/>
    <cellStyle name="Comma 3 2 2 2 4 2" xfId="2322" xr:uid="{00000000-0005-0000-0000-0000BE030000}"/>
    <cellStyle name="Comma 3 2 2 2 5" xfId="1377" xr:uid="{00000000-0005-0000-0000-0000BF030000}"/>
    <cellStyle name="Comma 3 2 2 2 5 2" xfId="2152" xr:uid="{00000000-0005-0000-0000-0000C0030000}"/>
    <cellStyle name="Comma 3 2 2 2 6" xfId="1769" xr:uid="{00000000-0005-0000-0000-0000C1030000}"/>
    <cellStyle name="Comma 3 2 2 3" xfId="1078" xr:uid="{00000000-0005-0000-0000-0000C2030000}"/>
    <cellStyle name="Comma 3 2 2 3 2" xfId="1253" xr:uid="{00000000-0005-0000-0000-0000C3030000}"/>
    <cellStyle name="Comma 3 2 2 3 2 2" xfId="1686" xr:uid="{00000000-0005-0000-0000-0000C4030000}"/>
    <cellStyle name="Comma 3 2 2 3 2 2 2" xfId="2459" xr:uid="{00000000-0005-0000-0000-0000C5030000}"/>
    <cellStyle name="Comma 3 2 2 3 2 3" xfId="1484" xr:uid="{00000000-0005-0000-0000-0000C6030000}"/>
    <cellStyle name="Comma 3 2 2 3 2 3 2" xfId="2259" xr:uid="{00000000-0005-0000-0000-0000C7030000}"/>
    <cellStyle name="Comma 3 2 2 3 2 4" xfId="2056" xr:uid="{00000000-0005-0000-0000-0000C8030000}"/>
    <cellStyle name="Comma 3 2 2 3 3" xfId="1609" xr:uid="{00000000-0005-0000-0000-0000C9030000}"/>
    <cellStyle name="Comma 3 2 2 3 3 2" xfId="2382" xr:uid="{00000000-0005-0000-0000-0000CA030000}"/>
    <cellStyle name="Comma 3 2 2 3 4" xfId="1407" xr:uid="{00000000-0005-0000-0000-0000CB030000}"/>
    <cellStyle name="Comma 3 2 2 3 4 2" xfId="2182" xr:uid="{00000000-0005-0000-0000-0000CC030000}"/>
    <cellStyle name="Comma 3 2 2 3 5" xfId="1881" xr:uid="{00000000-0005-0000-0000-0000CD030000}"/>
    <cellStyle name="Comma 3 2 2 4" xfId="1152" xr:uid="{00000000-0005-0000-0000-0000CE030000}"/>
    <cellStyle name="Comma 3 2 2 4 2" xfId="1639" xr:uid="{00000000-0005-0000-0000-0000CF030000}"/>
    <cellStyle name="Comma 3 2 2 4 2 2" xfId="2412" xr:uid="{00000000-0005-0000-0000-0000D0030000}"/>
    <cellStyle name="Comma 3 2 2 4 3" xfId="1437" xr:uid="{00000000-0005-0000-0000-0000D1030000}"/>
    <cellStyle name="Comma 3 2 2 4 3 2" xfId="2212" xr:uid="{00000000-0005-0000-0000-0000D2030000}"/>
    <cellStyle name="Comma 3 2 2 4 4" xfId="1955" xr:uid="{00000000-0005-0000-0000-0000D3030000}"/>
    <cellStyle name="Comma 3 2 2 5" xfId="918" xr:uid="{00000000-0005-0000-0000-0000D4030000}"/>
    <cellStyle name="Comma 3 2 2 5 2" xfId="1562" xr:uid="{00000000-0005-0000-0000-0000D5030000}"/>
    <cellStyle name="Comma 3 2 2 5 2 2" xfId="2335" xr:uid="{00000000-0005-0000-0000-0000D6030000}"/>
    <cellStyle name="Comma 3 2 2 5 3" xfId="1785" xr:uid="{00000000-0005-0000-0000-0000D7030000}"/>
    <cellStyle name="Comma 3 2 2 6" xfId="1520" xr:uid="{00000000-0005-0000-0000-0000D8030000}"/>
    <cellStyle name="Comma 3 2 2 6 2" xfId="2294" xr:uid="{00000000-0005-0000-0000-0000D9030000}"/>
    <cellStyle name="Comma 3 2 2 7" xfId="1360" xr:uid="{00000000-0005-0000-0000-0000DA030000}"/>
    <cellStyle name="Comma 3 2 2 7 2" xfId="2135" xr:uid="{00000000-0005-0000-0000-0000DB030000}"/>
    <cellStyle name="Comma 3 2 2 8" xfId="1735" xr:uid="{00000000-0005-0000-0000-0000DC030000}"/>
    <cellStyle name="Comma 3 2 3" xfId="842" xr:uid="{00000000-0005-0000-0000-0000DD030000}"/>
    <cellStyle name="Comma 3 2 3 2" xfId="1534" xr:uid="{00000000-0005-0000-0000-0000DE030000}"/>
    <cellStyle name="Comma 3 2 3 2 2" xfId="2308" xr:uid="{00000000-0005-0000-0000-0000DF030000}"/>
    <cellStyle name="Comma 3 2 3 3" xfId="1752" xr:uid="{00000000-0005-0000-0000-0000E0030000}"/>
    <cellStyle name="Comma 3 3" xfId="822" xr:uid="{00000000-0005-0000-0000-0000E1030000}"/>
    <cellStyle name="Comma 3 3 2" xfId="856" xr:uid="{00000000-0005-0000-0000-0000E2030000}"/>
    <cellStyle name="Comma 3 3 2 2" xfId="1176" xr:uid="{00000000-0005-0000-0000-0000E3030000}"/>
    <cellStyle name="Comma 3 3 2 2 2" xfId="1654" xr:uid="{00000000-0005-0000-0000-0000E4030000}"/>
    <cellStyle name="Comma 3 3 2 2 2 2" xfId="2427" xr:uid="{00000000-0005-0000-0000-0000E5030000}"/>
    <cellStyle name="Comma 3 3 2 2 3" xfId="1452" xr:uid="{00000000-0005-0000-0000-0000E6030000}"/>
    <cellStyle name="Comma 3 3 2 2 3 2" xfId="2227" xr:uid="{00000000-0005-0000-0000-0000E7030000}"/>
    <cellStyle name="Comma 3 3 2 2 4" xfId="1979" xr:uid="{00000000-0005-0000-0000-0000E8030000}"/>
    <cellStyle name="Comma 3 3 2 3" xfId="973" xr:uid="{00000000-0005-0000-0000-0000E9030000}"/>
    <cellStyle name="Comma 3 3 2 3 2" xfId="1577" xr:uid="{00000000-0005-0000-0000-0000EA030000}"/>
    <cellStyle name="Comma 3 3 2 3 2 2" xfId="2350" xr:uid="{00000000-0005-0000-0000-0000EB030000}"/>
    <cellStyle name="Comma 3 3 2 3 3" xfId="1806" xr:uid="{00000000-0005-0000-0000-0000EC030000}"/>
    <cellStyle name="Comma 3 3 2 4" xfId="1546" xr:uid="{00000000-0005-0000-0000-0000ED030000}"/>
    <cellStyle name="Comma 3 3 2 4 2" xfId="2320" xr:uid="{00000000-0005-0000-0000-0000EE030000}"/>
    <cellStyle name="Comma 3 3 2 5" xfId="1375" xr:uid="{00000000-0005-0000-0000-0000EF030000}"/>
    <cellStyle name="Comma 3 3 2 5 2" xfId="2150" xr:uid="{00000000-0005-0000-0000-0000F0030000}"/>
    <cellStyle name="Comma 3 3 2 6" xfId="1766" xr:uid="{00000000-0005-0000-0000-0000F1030000}"/>
    <cellStyle name="Comma 3 3 3" xfId="1075" xr:uid="{00000000-0005-0000-0000-0000F2030000}"/>
    <cellStyle name="Comma 3 3 3 2" xfId="1250" xr:uid="{00000000-0005-0000-0000-0000F3030000}"/>
    <cellStyle name="Comma 3 3 3 2 2" xfId="1684" xr:uid="{00000000-0005-0000-0000-0000F4030000}"/>
    <cellStyle name="Comma 3 3 3 2 2 2" xfId="2457" xr:uid="{00000000-0005-0000-0000-0000F5030000}"/>
    <cellStyle name="Comma 3 3 3 2 3" xfId="1482" xr:uid="{00000000-0005-0000-0000-0000F6030000}"/>
    <cellStyle name="Comma 3 3 3 2 3 2" xfId="2257" xr:uid="{00000000-0005-0000-0000-0000F7030000}"/>
    <cellStyle name="Comma 3 3 3 2 4" xfId="2053" xr:uid="{00000000-0005-0000-0000-0000F8030000}"/>
    <cellStyle name="Comma 3 3 3 3" xfId="1607" xr:uid="{00000000-0005-0000-0000-0000F9030000}"/>
    <cellStyle name="Comma 3 3 3 3 2" xfId="2380" xr:uid="{00000000-0005-0000-0000-0000FA030000}"/>
    <cellStyle name="Comma 3 3 3 4" xfId="1405" xr:uid="{00000000-0005-0000-0000-0000FB030000}"/>
    <cellStyle name="Comma 3 3 3 4 2" xfId="2180" xr:uid="{00000000-0005-0000-0000-0000FC030000}"/>
    <cellStyle name="Comma 3 3 3 5" xfId="1878" xr:uid="{00000000-0005-0000-0000-0000FD030000}"/>
    <cellStyle name="Comma 3 3 4" xfId="1149" xr:uid="{00000000-0005-0000-0000-0000FE030000}"/>
    <cellStyle name="Comma 3 3 4 2" xfId="1637" xr:uid="{00000000-0005-0000-0000-0000FF030000}"/>
    <cellStyle name="Comma 3 3 4 2 2" xfId="2410" xr:uid="{00000000-0005-0000-0000-000000040000}"/>
    <cellStyle name="Comma 3 3 4 3" xfId="1435" xr:uid="{00000000-0005-0000-0000-000001040000}"/>
    <cellStyle name="Comma 3 3 4 3 2" xfId="2210" xr:uid="{00000000-0005-0000-0000-000002040000}"/>
    <cellStyle name="Comma 3 3 4 4" xfId="1952" xr:uid="{00000000-0005-0000-0000-000003040000}"/>
    <cellStyle name="Comma 3 3 5" xfId="916" xr:uid="{00000000-0005-0000-0000-000004040000}"/>
    <cellStyle name="Comma 3 3 5 2" xfId="1560" xr:uid="{00000000-0005-0000-0000-000005040000}"/>
    <cellStyle name="Comma 3 3 5 2 2" xfId="2333" xr:uid="{00000000-0005-0000-0000-000006040000}"/>
    <cellStyle name="Comma 3 3 5 3" xfId="1783" xr:uid="{00000000-0005-0000-0000-000007040000}"/>
    <cellStyle name="Comma 3 3 6" xfId="1518" xr:uid="{00000000-0005-0000-0000-000008040000}"/>
    <cellStyle name="Comma 3 3 6 2" xfId="2292" xr:uid="{00000000-0005-0000-0000-000009040000}"/>
    <cellStyle name="Comma 3 3 7" xfId="1358" xr:uid="{00000000-0005-0000-0000-00000A040000}"/>
    <cellStyle name="Comma 3 3 7 2" xfId="2133" xr:uid="{00000000-0005-0000-0000-00000B040000}"/>
    <cellStyle name="Comma 3 3 8" xfId="1732" xr:uid="{00000000-0005-0000-0000-00000C040000}"/>
    <cellStyle name="Comma 3 4" xfId="839" xr:uid="{00000000-0005-0000-0000-00000D040000}"/>
    <cellStyle name="Comma 3 4 2" xfId="1532" xr:uid="{00000000-0005-0000-0000-00000E040000}"/>
    <cellStyle name="Comma 3 4 2 2" xfId="2306" xr:uid="{00000000-0005-0000-0000-00000F040000}"/>
    <cellStyle name="Comma 3 4 3" xfId="1749" xr:uid="{00000000-0005-0000-0000-000010040000}"/>
    <cellStyle name="Comma 4" xfId="55" xr:uid="{00000000-0005-0000-0000-000011040000}"/>
    <cellStyle name="Comma 4 2" xfId="819" xr:uid="{00000000-0005-0000-0000-000012040000}"/>
    <cellStyle name="Comma 4 2 2" xfId="853" xr:uid="{00000000-0005-0000-0000-000013040000}"/>
    <cellStyle name="Comma 4 2 2 2" xfId="1173" xr:uid="{00000000-0005-0000-0000-000014040000}"/>
    <cellStyle name="Comma 4 2 2 2 2" xfId="1651" xr:uid="{00000000-0005-0000-0000-000015040000}"/>
    <cellStyle name="Comma 4 2 2 2 2 2" xfId="2424" xr:uid="{00000000-0005-0000-0000-000016040000}"/>
    <cellStyle name="Comma 4 2 2 2 3" xfId="1449" xr:uid="{00000000-0005-0000-0000-000017040000}"/>
    <cellStyle name="Comma 4 2 2 2 3 2" xfId="2224" xr:uid="{00000000-0005-0000-0000-000018040000}"/>
    <cellStyle name="Comma 4 2 2 2 4" xfId="1976" xr:uid="{00000000-0005-0000-0000-000019040000}"/>
    <cellStyle name="Comma 4 2 2 3" xfId="970" xr:uid="{00000000-0005-0000-0000-00001A040000}"/>
    <cellStyle name="Comma 4 2 2 3 2" xfId="1574" xr:uid="{00000000-0005-0000-0000-00001B040000}"/>
    <cellStyle name="Comma 4 2 2 3 2 2" xfId="2347" xr:uid="{00000000-0005-0000-0000-00001C040000}"/>
    <cellStyle name="Comma 4 2 2 3 3" xfId="1803" xr:uid="{00000000-0005-0000-0000-00001D040000}"/>
    <cellStyle name="Comma 4 2 2 4" xfId="1543" xr:uid="{00000000-0005-0000-0000-00001E040000}"/>
    <cellStyle name="Comma 4 2 2 4 2" xfId="2317" xr:uid="{00000000-0005-0000-0000-00001F040000}"/>
    <cellStyle name="Comma 4 2 2 5" xfId="1372" xr:uid="{00000000-0005-0000-0000-000020040000}"/>
    <cellStyle name="Comma 4 2 2 5 2" xfId="2147" xr:uid="{00000000-0005-0000-0000-000021040000}"/>
    <cellStyle name="Comma 4 2 2 6" xfId="1763" xr:uid="{00000000-0005-0000-0000-000022040000}"/>
    <cellStyle name="Comma 4 2 3" xfId="1072" xr:uid="{00000000-0005-0000-0000-000023040000}"/>
    <cellStyle name="Comma 4 2 3 2" xfId="1247" xr:uid="{00000000-0005-0000-0000-000024040000}"/>
    <cellStyle name="Comma 4 2 3 2 2" xfId="1681" xr:uid="{00000000-0005-0000-0000-000025040000}"/>
    <cellStyle name="Comma 4 2 3 2 2 2" xfId="2454" xr:uid="{00000000-0005-0000-0000-000026040000}"/>
    <cellStyle name="Comma 4 2 3 2 3" xfId="1479" xr:uid="{00000000-0005-0000-0000-000027040000}"/>
    <cellStyle name="Comma 4 2 3 2 3 2" xfId="2254" xr:uid="{00000000-0005-0000-0000-000028040000}"/>
    <cellStyle name="Comma 4 2 3 2 4" xfId="2050" xr:uid="{00000000-0005-0000-0000-000029040000}"/>
    <cellStyle name="Comma 4 2 3 3" xfId="1604" xr:uid="{00000000-0005-0000-0000-00002A040000}"/>
    <cellStyle name="Comma 4 2 3 3 2" xfId="2377" xr:uid="{00000000-0005-0000-0000-00002B040000}"/>
    <cellStyle name="Comma 4 2 3 4" xfId="1402" xr:uid="{00000000-0005-0000-0000-00002C040000}"/>
    <cellStyle name="Comma 4 2 3 4 2" xfId="2177" xr:uid="{00000000-0005-0000-0000-00002D040000}"/>
    <cellStyle name="Comma 4 2 3 5" xfId="1875" xr:uid="{00000000-0005-0000-0000-00002E040000}"/>
    <cellStyle name="Comma 4 2 4" xfId="1146" xr:uid="{00000000-0005-0000-0000-00002F040000}"/>
    <cellStyle name="Comma 4 2 4 2" xfId="1634" xr:uid="{00000000-0005-0000-0000-000030040000}"/>
    <cellStyle name="Comma 4 2 4 2 2" xfId="2407" xr:uid="{00000000-0005-0000-0000-000031040000}"/>
    <cellStyle name="Comma 4 2 4 3" xfId="1432" xr:uid="{00000000-0005-0000-0000-000032040000}"/>
    <cellStyle name="Comma 4 2 4 3 2" xfId="2207" xr:uid="{00000000-0005-0000-0000-000033040000}"/>
    <cellStyle name="Comma 4 2 4 4" xfId="1949" xr:uid="{00000000-0005-0000-0000-000034040000}"/>
    <cellStyle name="Comma 4 2 5" xfId="913" xr:uid="{00000000-0005-0000-0000-000035040000}"/>
    <cellStyle name="Comma 4 2 5 2" xfId="1557" xr:uid="{00000000-0005-0000-0000-000036040000}"/>
    <cellStyle name="Comma 4 2 5 2 2" xfId="2330" xr:uid="{00000000-0005-0000-0000-000037040000}"/>
    <cellStyle name="Comma 4 2 5 3" xfId="1780" xr:uid="{00000000-0005-0000-0000-000038040000}"/>
    <cellStyle name="Comma 4 2 6" xfId="1515" xr:uid="{00000000-0005-0000-0000-000039040000}"/>
    <cellStyle name="Comma 4 2 6 2" xfId="2289" xr:uid="{00000000-0005-0000-0000-00003A040000}"/>
    <cellStyle name="Comma 4 2 7" xfId="1355" xr:uid="{00000000-0005-0000-0000-00003B040000}"/>
    <cellStyle name="Comma 4 2 7 2" xfId="2130" xr:uid="{00000000-0005-0000-0000-00003C040000}"/>
    <cellStyle name="Comma 4 2 8" xfId="1729" xr:uid="{00000000-0005-0000-0000-00003D040000}"/>
    <cellStyle name="Comma 4 3" xfId="836" xr:uid="{00000000-0005-0000-0000-00003E040000}"/>
    <cellStyle name="Comma 4 3 2" xfId="1529" xr:uid="{00000000-0005-0000-0000-00003F040000}"/>
    <cellStyle name="Comma 4 3 2 2" xfId="2303" xr:uid="{00000000-0005-0000-0000-000040040000}"/>
    <cellStyle name="Comma 4 3 3" xfId="1746" xr:uid="{00000000-0005-0000-0000-000041040000}"/>
    <cellStyle name="Comma 4 4" xfId="1722" xr:uid="{00000000-0005-0000-0000-000042040000}"/>
    <cellStyle name="Comma 4 4 2" xfId="2487" xr:uid="{00000000-0005-0000-0000-000043040000}"/>
    <cellStyle name="Comma 5" xfId="31" xr:uid="{00000000-0005-0000-0000-000044040000}"/>
    <cellStyle name="Comma 5 2" xfId="817" xr:uid="{00000000-0005-0000-0000-000045040000}"/>
    <cellStyle name="Comma 5 2 2" xfId="851" xr:uid="{00000000-0005-0000-0000-000046040000}"/>
    <cellStyle name="Comma 5 2 2 2" xfId="1171" xr:uid="{00000000-0005-0000-0000-000047040000}"/>
    <cellStyle name="Comma 5 2 2 2 2" xfId="1649" xr:uid="{00000000-0005-0000-0000-000048040000}"/>
    <cellStyle name="Comma 5 2 2 2 2 2" xfId="2422" xr:uid="{00000000-0005-0000-0000-000049040000}"/>
    <cellStyle name="Comma 5 2 2 2 3" xfId="1447" xr:uid="{00000000-0005-0000-0000-00004A040000}"/>
    <cellStyle name="Comma 5 2 2 2 3 2" xfId="2222" xr:uid="{00000000-0005-0000-0000-00004B040000}"/>
    <cellStyle name="Comma 5 2 2 2 4" xfId="1974" xr:uid="{00000000-0005-0000-0000-00004C040000}"/>
    <cellStyle name="Comma 5 2 2 3" xfId="968" xr:uid="{00000000-0005-0000-0000-00004D040000}"/>
    <cellStyle name="Comma 5 2 2 3 2" xfId="1572" xr:uid="{00000000-0005-0000-0000-00004E040000}"/>
    <cellStyle name="Comma 5 2 2 3 2 2" xfId="2345" xr:uid="{00000000-0005-0000-0000-00004F040000}"/>
    <cellStyle name="Comma 5 2 2 3 3" xfId="1801" xr:uid="{00000000-0005-0000-0000-000050040000}"/>
    <cellStyle name="Comma 5 2 2 4" xfId="1541" xr:uid="{00000000-0005-0000-0000-000051040000}"/>
    <cellStyle name="Comma 5 2 2 4 2" xfId="2315" xr:uid="{00000000-0005-0000-0000-000052040000}"/>
    <cellStyle name="Comma 5 2 2 5" xfId="1370" xr:uid="{00000000-0005-0000-0000-000053040000}"/>
    <cellStyle name="Comma 5 2 2 5 2" xfId="2145" xr:uid="{00000000-0005-0000-0000-000054040000}"/>
    <cellStyle name="Comma 5 2 2 6" xfId="1761" xr:uid="{00000000-0005-0000-0000-000055040000}"/>
    <cellStyle name="Comma 5 2 3" xfId="1070" xr:uid="{00000000-0005-0000-0000-000056040000}"/>
    <cellStyle name="Comma 5 2 3 2" xfId="1245" xr:uid="{00000000-0005-0000-0000-000057040000}"/>
    <cellStyle name="Comma 5 2 3 2 2" xfId="1679" xr:uid="{00000000-0005-0000-0000-000058040000}"/>
    <cellStyle name="Comma 5 2 3 2 2 2" xfId="2452" xr:uid="{00000000-0005-0000-0000-000059040000}"/>
    <cellStyle name="Comma 5 2 3 2 3" xfId="1477" xr:uid="{00000000-0005-0000-0000-00005A040000}"/>
    <cellStyle name="Comma 5 2 3 2 3 2" xfId="2252" xr:uid="{00000000-0005-0000-0000-00005B040000}"/>
    <cellStyle name="Comma 5 2 3 2 4" xfId="2048" xr:uid="{00000000-0005-0000-0000-00005C040000}"/>
    <cellStyle name="Comma 5 2 3 3" xfId="1602" xr:uid="{00000000-0005-0000-0000-00005D040000}"/>
    <cellStyle name="Comma 5 2 3 3 2" xfId="2375" xr:uid="{00000000-0005-0000-0000-00005E040000}"/>
    <cellStyle name="Comma 5 2 3 4" xfId="1400" xr:uid="{00000000-0005-0000-0000-00005F040000}"/>
    <cellStyle name="Comma 5 2 3 4 2" xfId="2175" xr:uid="{00000000-0005-0000-0000-000060040000}"/>
    <cellStyle name="Comma 5 2 3 5" xfId="1873" xr:uid="{00000000-0005-0000-0000-000061040000}"/>
    <cellStyle name="Comma 5 2 4" xfId="1144" xr:uid="{00000000-0005-0000-0000-000062040000}"/>
    <cellStyle name="Comma 5 2 4 2" xfId="1632" xr:uid="{00000000-0005-0000-0000-000063040000}"/>
    <cellStyle name="Comma 5 2 4 2 2" xfId="2405" xr:uid="{00000000-0005-0000-0000-000064040000}"/>
    <cellStyle name="Comma 5 2 4 3" xfId="1430" xr:uid="{00000000-0005-0000-0000-000065040000}"/>
    <cellStyle name="Comma 5 2 4 3 2" xfId="2205" xr:uid="{00000000-0005-0000-0000-000066040000}"/>
    <cellStyle name="Comma 5 2 4 4" xfId="1947" xr:uid="{00000000-0005-0000-0000-000067040000}"/>
    <cellStyle name="Comma 5 2 5" xfId="911" xr:uid="{00000000-0005-0000-0000-000068040000}"/>
    <cellStyle name="Comma 5 2 5 2" xfId="1555" xr:uid="{00000000-0005-0000-0000-000069040000}"/>
    <cellStyle name="Comma 5 2 5 2 2" xfId="2328" xr:uid="{00000000-0005-0000-0000-00006A040000}"/>
    <cellStyle name="Comma 5 2 5 3" xfId="1778" xr:uid="{00000000-0005-0000-0000-00006B040000}"/>
    <cellStyle name="Comma 5 2 6" xfId="1513" xr:uid="{00000000-0005-0000-0000-00006C040000}"/>
    <cellStyle name="Comma 5 2 6 2" xfId="2287" xr:uid="{00000000-0005-0000-0000-00006D040000}"/>
    <cellStyle name="Comma 5 2 7" xfId="1353" xr:uid="{00000000-0005-0000-0000-00006E040000}"/>
    <cellStyle name="Comma 5 2 7 2" xfId="2128" xr:uid="{00000000-0005-0000-0000-00006F040000}"/>
    <cellStyle name="Comma 5 2 8" xfId="1727" xr:uid="{00000000-0005-0000-0000-000070040000}"/>
    <cellStyle name="Comma 5 3" xfId="834" xr:uid="{00000000-0005-0000-0000-000071040000}"/>
    <cellStyle name="Comma 5 3 2" xfId="1527" xr:uid="{00000000-0005-0000-0000-000072040000}"/>
    <cellStyle name="Comma 5 3 2 2" xfId="2301" xr:uid="{00000000-0005-0000-0000-000073040000}"/>
    <cellStyle name="Comma 5 3 3" xfId="1744" xr:uid="{00000000-0005-0000-0000-000074040000}"/>
    <cellStyle name="Comma 6" xfId="697" xr:uid="{00000000-0005-0000-0000-000075040000}"/>
    <cellStyle name="Comma 6 2" xfId="826" xr:uid="{00000000-0005-0000-0000-000076040000}"/>
    <cellStyle name="Comma 6 2 2" xfId="860" xr:uid="{00000000-0005-0000-0000-000077040000}"/>
    <cellStyle name="Comma 6 2 2 2" xfId="1180" xr:uid="{00000000-0005-0000-0000-000078040000}"/>
    <cellStyle name="Comma 6 2 2 2 2" xfId="1657" xr:uid="{00000000-0005-0000-0000-000079040000}"/>
    <cellStyle name="Comma 6 2 2 2 2 2" xfId="2430" xr:uid="{00000000-0005-0000-0000-00007A040000}"/>
    <cellStyle name="Comma 6 2 2 2 3" xfId="1455" xr:uid="{00000000-0005-0000-0000-00007B040000}"/>
    <cellStyle name="Comma 6 2 2 2 3 2" xfId="2230" xr:uid="{00000000-0005-0000-0000-00007C040000}"/>
    <cellStyle name="Comma 6 2 2 2 4" xfId="1983" xr:uid="{00000000-0005-0000-0000-00007D040000}"/>
    <cellStyle name="Comma 6 2 2 3" xfId="977" xr:uid="{00000000-0005-0000-0000-00007E040000}"/>
    <cellStyle name="Comma 6 2 2 3 2" xfId="1580" xr:uid="{00000000-0005-0000-0000-00007F040000}"/>
    <cellStyle name="Comma 6 2 2 3 2 2" xfId="2353" xr:uid="{00000000-0005-0000-0000-000080040000}"/>
    <cellStyle name="Comma 6 2 2 3 3" xfId="1810" xr:uid="{00000000-0005-0000-0000-000081040000}"/>
    <cellStyle name="Comma 6 2 2 4" xfId="1549" xr:uid="{00000000-0005-0000-0000-000082040000}"/>
    <cellStyle name="Comma 6 2 2 4 2" xfId="2323" xr:uid="{00000000-0005-0000-0000-000083040000}"/>
    <cellStyle name="Comma 6 2 2 5" xfId="1378" xr:uid="{00000000-0005-0000-0000-000084040000}"/>
    <cellStyle name="Comma 6 2 2 5 2" xfId="2153" xr:uid="{00000000-0005-0000-0000-000085040000}"/>
    <cellStyle name="Comma 6 2 2 6" xfId="1770" xr:uid="{00000000-0005-0000-0000-000086040000}"/>
    <cellStyle name="Comma 6 2 3" xfId="1079" xr:uid="{00000000-0005-0000-0000-000087040000}"/>
    <cellStyle name="Comma 6 2 3 2" xfId="1254" xr:uid="{00000000-0005-0000-0000-000088040000}"/>
    <cellStyle name="Comma 6 2 3 2 2" xfId="1687" xr:uid="{00000000-0005-0000-0000-000089040000}"/>
    <cellStyle name="Comma 6 2 3 2 2 2" xfId="2460" xr:uid="{00000000-0005-0000-0000-00008A040000}"/>
    <cellStyle name="Comma 6 2 3 2 3" xfId="1485" xr:uid="{00000000-0005-0000-0000-00008B040000}"/>
    <cellStyle name="Comma 6 2 3 2 3 2" xfId="2260" xr:uid="{00000000-0005-0000-0000-00008C040000}"/>
    <cellStyle name="Comma 6 2 3 2 4" xfId="2057" xr:uid="{00000000-0005-0000-0000-00008D040000}"/>
    <cellStyle name="Comma 6 2 3 3" xfId="1610" xr:uid="{00000000-0005-0000-0000-00008E040000}"/>
    <cellStyle name="Comma 6 2 3 3 2" xfId="2383" xr:uid="{00000000-0005-0000-0000-00008F040000}"/>
    <cellStyle name="Comma 6 2 3 4" xfId="1408" xr:uid="{00000000-0005-0000-0000-000090040000}"/>
    <cellStyle name="Comma 6 2 3 4 2" xfId="2183" xr:uid="{00000000-0005-0000-0000-000091040000}"/>
    <cellStyle name="Comma 6 2 3 5" xfId="1882" xr:uid="{00000000-0005-0000-0000-000092040000}"/>
    <cellStyle name="Comma 6 2 4" xfId="1153" xr:uid="{00000000-0005-0000-0000-000093040000}"/>
    <cellStyle name="Comma 6 2 4 2" xfId="1640" xr:uid="{00000000-0005-0000-0000-000094040000}"/>
    <cellStyle name="Comma 6 2 4 2 2" xfId="2413" xr:uid="{00000000-0005-0000-0000-000095040000}"/>
    <cellStyle name="Comma 6 2 4 3" xfId="1438" xr:uid="{00000000-0005-0000-0000-000096040000}"/>
    <cellStyle name="Comma 6 2 4 3 2" xfId="2213" xr:uid="{00000000-0005-0000-0000-000097040000}"/>
    <cellStyle name="Comma 6 2 4 4" xfId="1956" xr:uid="{00000000-0005-0000-0000-000098040000}"/>
    <cellStyle name="Comma 6 2 5" xfId="919" xr:uid="{00000000-0005-0000-0000-000099040000}"/>
    <cellStyle name="Comma 6 2 5 2" xfId="1563" xr:uid="{00000000-0005-0000-0000-00009A040000}"/>
    <cellStyle name="Comma 6 2 5 2 2" xfId="2336" xr:uid="{00000000-0005-0000-0000-00009B040000}"/>
    <cellStyle name="Comma 6 2 5 3" xfId="1786" xr:uid="{00000000-0005-0000-0000-00009C040000}"/>
    <cellStyle name="Comma 6 2 6" xfId="1521" xr:uid="{00000000-0005-0000-0000-00009D040000}"/>
    <cellStyle name="Comma 6 2 6 2" xfId="2295" xr:uid="{00000000-0005-0000-0000-00009E040000}"/>
    <cellStyle name="Comma 6 2 7" xfId="1361" xr:uid="{00000000-0005-0000-0000-00009F040000}"/>
    <cellStyle name="Comma 6 2 7 2" xfId="2136" xr:uid="{00000000-0005-0000-0000-0000A0040000}"/>
    <cellStyle name="Comma 6 2 8" xfId="1736" xr:uid="{00000000-0005-0000-0000-0000A1040000}"/>
    <cellStyle name="Comma 6 3" xfId="843" xr:uid="{00000000-0005-0000-0000-0000A2040000}"/>
    <cellStyle name="Comma 6 3 2" xfId="1535" xr:uid="{00000000-0005-0000-0000-0000A3040000}"/>
    <cellStyle name="Comma 6 3 2 2" xfId="2309" xr:uid="{00000000-0005-0000-0000-0000A4040000}"/>
    <cellStyle name="Comma 6 3 3" xfId="1753" xr:uid="{00000000-0005-0000-0000-0000A5040000}"/>
    <cellStyle name="Cor1" xfId="698" xr:uid="{00000000-0005-0000-0000-0000A6040000}"/>
    <cellStyle name="Cor2" xfId="699" xr:uid="{00000000-0005-0000-0000-0000A7040000}"/>
    <cellStyle name="Cor3" xfId="700" xr:uid="{00000000-0005-0000-0000-0000A8040000}"/>
    <cellStyle name="Cor4" xfId="701" xr:uid="{00000000-0005-0000-0000-0000A9040000}"/>
    <cellStyle name="Cor5" xfId="702" xr:uid="{00000000-0005-0000-0000-0000AA040000}"/>
    <cellStyle name="Cor6" xfId="703" xr:uid="{00000000-0005-0000-0000-0000AB040000}"/>
    <cellStyle name="Correcto" xfId="704" xr:uid="{00000000-0005-0000-0000-0000AC040000}"/>
    <cellStyle name="Currency 17 2" xfId="1021" xr:uid="{00000000-0005-0000-0000-0000AD040000}"/>
    <cellStyle name="Currency 17 2 2" xfId="1041" xr:uid="{00000000-0005-0000-0000-0000AE040000}"/>
    <cellStyle name="Currency 17 2 2 2" xfId="1127" xr:uid="{00000000-0005-0000-0000-0000AF040000}"/>
    <cellStyle name="Currency 17 2 2 2 2" xfId="1302" xr:uid="{00000000-0005-0000-0000-0000B0040000}"/>
    <cellStyle name="Currency 17 2 2 2 2 2" xfId="2105" xr:uid="{00000000-0005-0000-0000-0000B1040000}"/>
    <cellStyle name="Currency 17 2 2 2 3" xfId="1930" xr:uid="{00000000-0005-0000-0000-0000B2040000}"/>
    <cellStyle name="Currency 17 2 2 3" xfId="1228" xr:uid="{00000000-0005-0000-0000-0000B3040000}"/>
    <cellStyle name="Currency 17 2 2 3 2" xfId="2031" xr:uid="{00000000-0005-0000-0000-0000B4040000}"/>
    <cellStyle name="Currency 17 2 2 4" xfId="1856" xr:uid="{00000000-0005-0000-0000-0000B5040000}"/>
    <cellStyle name="Currency 17 2 3" xfId="1110" xr:uid="{00000000-0005-0000-0000-0000B6040000}"/>
    <cellStyle name="Currency 17 2 3 2" xfId="1285" xr:uid="{00000000-0005-0000-0000-0000B7040000}"/>
    <cellStyle name="Currency 17 2 3 2 2" xfId="2088" xr:uid="{00000000-0005-0000-0000-0000B8040000}"/>
    <cellStyle name="Currency 17 2 3 3" xfId="1913" xr:uid="{00000000-0005-0000-0000-0000B9040000}"/>
    <cellStyle name="Currency 17 2 4" xfId="1211" xr:uid="{00000000-0005-0000-0000-0000BA040000}"/>
    <cellStyle name="Currency 17 2 4 2" xfId="2014" xr:uid="{00000000-0005-0000-0000-0000BB040000}"/>
    <cellStyle name="Currency 17 2 5" xfId="1839" xr:uid="{00000000-0005-0000-0000-0000BC040000}"/>
    <cellStyle name="Currency 2" xfId="112" xr:uid="{00000000-0005-0000-0000-0000BD040000}"/>
    <cellStyle name="Currency 2 2" xfId="823" xr:uid="{00000000-0005-0000-0000-0000BE040000}"/>
    <cellStyle name="Currency 2 2 2" xfId="857" xr:uid="{00000000-0005-0000-0000-0000BF040000}"/>
    <cellStyle name="Currency 2 2 2 2" xfId="986" xr:uid="{00000000-0005-0000-0000-0000C0040000}"/>
    <cellStyle name="Currency 2 2 2 2 2" xfId="1191" xr:uid="{00000000-0005-0000-0000-0000C1040000}"/>
    <cellStyle name="Currency 2 2 2 2 2 2" xfId="1994" xr:uid="{00000000-0005-0000-0000-0000C2040000}"/>
    <cellStyle name="Currency 2 2 2 2 3" xfId="1819" xr:uid="{00000000-0005-0000-0000-0000C3040000}"/>
    <cellStyle name="Currency 2 2 2 3" xfId="1090" xr:uid="{00000000-0005-0000-0000-0000C4040000}"/>
    <cellStyle name="Currency 2 2 2 3 2" xfId="1265" xr:uid="{00000000-0005-0000-0000-0000C5040000}"/>
    <cellStyle name="Currency 2 2 2 3 2 2" xfId="2068" xr:uid="{00000000-0005-0000-0000-0000C6040000}"/>
    <cellStyle name="Currency 2 2 2 3 3" xfId="1893" xr:uid="{00000000-0005-0000-0000-0000C7040000}"/>
    <cellStyle name="Currency 2 2 2 4" xfId="1164" xr:uid="{00000000-0005-0000-0000-0000C8040000}"/>
    <cellStyle name="Currency 2 2 2 4 2" xfId="1967" xr:uid="{00000000-0005-0000-0000-0000C9040000}"/>
    <cellStyle name="Currency 2 2 2 5" xfId="1767" xr:uid="{00000000-0005-0000-0000-0000CA040000}"/>
    <cellStyle name="Currency 2 2 3" xfId="974" xr:uid="{00000000-0005-0000-0000-0000CB040000}"/>
    <cellStyle name="Currency 2 2 3 2" xfId="1177" xr:uid="{00000000-0005-0000-0000-0000CC040000}"/>
    <cellStyle name="Currency 2 2 3 2 2" xfId="1980" xr:uid="{00000000-0005-0000-0000-0000CD040000}"/>
    <cellStyle name="Currency 2 2 3 3" xfId="1807" xr:uid="{00000000-0005-0000-0000-0000CE040000}"/>
    <cellStyle name="Currency 2 2 4" xfId="1076" xr:uid="{00000000-0005-0000-0000-0000CF040000}"/>
    <cellStyle name="Currency 2 2 4 2" xfId="1251" xr:uid="{00000000-0005-0000-0000-0000D0040000}"/>
    <cellStyle name="Currency 2 2 4 2 2" xfId="2054" xr:uid="{00000000-0005-0000-0000-0000D1040000}"/>
    <cellStyle name="Currency 2 2 4 3" xfId="1879" xr:uid="{00000000-0005-0000-0000-0000D2040000}"/>
    <cellStyle name="Currency 2 2 5" xfId="1150" xr:uid="{00000000-0005-0000-0000-0000D3040000}"/>
    <cellStyle name="Currency 2 2 5 2" xfId="1953" xr:uid="{00000000-0005-0000-0000-0000D4040000}"/>
    <cellStyle name="Currency 2 2 6" xfId="1733" xr:uid="{00000000-0005-0000-0000-0000D5040000}"/>
    <cellStyle name="Currency 2 3" xfId="840" xr:uid="{00000000-0005-0000-0000-0000D6040000}"/>
    <cellStyle name="Currency 2 3 2" xfId="1750" xr:uid="{00000000-0005-0000-0000-0000D7040000}"/>
    <cellStyle name="Currency 3" xfId="867" xr:uid="{00000000-0005-0000-0000-0000D8040000}"/>
    <cellStyle name="Currency 3 2" xfId="1554" xr:uid="{00000000-0005-0000-0000-0000D9040000}"/>
    <cellStyle name="Currency 3 3" xfId="1721" xr:uid="{00000000-0005-0000-0000-0000DA040000}"/>
    <cellStyle name="Currency 3 3 2" xfId="2486" xr:uid="{00000000-0005-0000-0000-0000DB040000}"/>
    <cellStyle name="Currency 4" xfId="1511" xr:uid="{00000000-0005-0000-0000-0000DC040000}"/>
    <cellStyle name="Currency 5" xfId="1352" xr:uid="{00000000-0005-0000-0000-0000DD040000}"/>
    <cellStyle name="Currency 7 2" xfId="1019" xr:uid="{00000000-0005-0000-0000-0000DE040000}"/>
    <cellStyle name="Currency 7 2 2" xfId="1040" xr:uid="{00000000-0005-0000-0000-0000DF040000}"/>
    <cellStyle name="Currency 7 2 2 2" xfId="1126" xr:uid="{00000000-0005-0000-0000-0000E0040000}"/>
    <cellStyle name="Currency 7 2 2 2 2" xfId="1301" xr:uid="{00000000-0005-0000-0000-0000E1040000}"/>
    <cellStyle name="Currency 7 2 2 2 2 2" xfId="2104" xr:uid="{00000000-0005-0000-0000-0000E2040000}"/>
    <cellStyle name="Currency 7 2 2 2 3" xfId="1929" xr:uid="{00000000-0005-0000-0000-0000E3040000}"/>
    <cellStyle name="Currency 7 2 2 3" xfId="1227" xr:uid="{00000000-0005-0000-0000-0000E4040000}"/>
    <cellStyle name="Currency 7 2 2 3 2" xfId="2030" xr:uid="{00000000-0005-0000-0000-0000E5040000}"/>
    <cellStyle name="Currency 7 2 2 4" xfId="1855" xr:uid="{00000000-0005-0000-0000-0000E6040000}"/>
    <cellStyle name="Currency 7 2 3" xfId="1109" xr:uid="{00000000-0005-0000-0000-0000E7040000}"/>
    <cellStyle name="Currency 7 2 3 2" xfId="1284" xr:uid="{00000000-0005-0000-0000-0000E8040000}"/>
    <cellStyle name="Currency 7 2 3 2 2" xfId="2087" xr:uid="{00000000-0005-0000-0000-0000E9040000}"/>
    <cellStyle name="Currency 7 2 3 3" xfId="1912" xr:uid="{00000000-0005-0000-0000-0000EA040000}"/>
    <cellStyle name="Currency 7 2 4" xfId="1210" xr:uid="{00000000-0005-0000-0000-0000EB040000}"/>
    <cellStyle name="Currency 7 2 4 2" xfId="2013" xr:uid="{00000000-0005-0000-0000-0000EC040000}"/>
    <cellStyle name="Currency 7 2 5" xfId="1838" xr:uid="{00000000-0005-0000-0000-0000ED040000}"/>
    <cellStyle name="Currency1" xfId="705" xr:uid="{00000000-0005-0000-0000-0000EE040000}"/>
    <cellStyle name="Date" xfId="706" xr:uid="{00000000-0005-0000-0000-0000EF040000}"/>
    <cellStyle name="Date 2" xfId="827" xr:uid="{00000000-0005-0000-0000-0000F0040000}"/>
    <cellStyle name="Date 2 2" xfId="861" xr:uid="{00000000-0005-0000-0000-0000F1040000}"/>
    <cellStyle name="Date 2 2 2" xfId="1181" xr:uid="{00000000-0005-0000-0000-0000F2040000}"/>
    <cellStyle name="Date 2 2 2 2" xfId="1984" xr:uid="{00000000-0005-0000-0000-0000F3040000}"/>
    <cellStyle name="Date 2 2 3" xfId="1771" xr:uid="{00000000-0005-0000-0000-0000F4040000}"/>
    <cellStyle name="Date 2 3" xfId="1080" xr:uid="{00000000-0005-0000-0000-0000F5040000}"/>
    <cellStyle name="Date 2 3 2" xfId="1255" xr:uid="{00000000-0005-0000-0000-0000F6040000}"/>
    <cellStyle name="Date 2 3 2 2" xfId="2058" xr:uid="{00000000-0005-0000-0000-0000F7040000}"/>
    <cellStyle name="Date 2 3 3" xfId="1883" xr:uid="{00000000-0005-0000-0000-0000F8040000}"/>
    <cellStyle name="Date 2 4" xfId="1154" xr:uid="{00000000-0005-0000-0000-0000F9040000}"/>
    <cellStyle name="Date 2 4 2" xfId="1957" xr:uid="{00000000-0005-0000-0000-0000FA040000}"/>
    <cellStyle name="Date 2 5" xfId="1737" xr:uid="{00000000-0005-0000-0000-0000FB040000}"/>
    <cellStyle name="Date 3" xfId="844" xr:uid="{00000000-0005-0000-0000-0000FC040000}"/>
    <cellStyle name="Date 3 2" xfId="1754" xr:uid="{00000000-0005-0000-0000-0000FD040000}"/>
    <cellStyle name="Dezimal [0]_SCA2000" xfId="707" xr:uid="{00000000-0005-0000-0000-0000FE040000}"/>
    <cellStyle name="Dezimal_SCA2000" xfId="708" xr:uid="{00000000-0005-0000-0000-0000FF040000}"/>
    <cellStyle name="Encabezado 1" xfId="2" builtinId="16" customBuiltin="1"/>
    <cellStyle name="Encabezado 4" xfId="5" builtinId="19" customBuiltin="1"/>
    <cellStyle name="Énfasis1" xfId="13" builtinId="29" customBuiltin="1"/>
    <cellStyle name="Énfasis2" xfId="16" builtinId="33" customBuiltin="1"/>
    <cellStyle name="Énfasis3" xfId="19" builtinId="37" customBuiltin="1"/>
    <cellStyle name="Énfasis4" xfId="22" builtinId="41" customBuiltin="1"/>
    <cellStyle name="Énfasis5" xfId="25" builtinId="45" customBuiltin="1"/>
    <cellStyle name="Énfasis6" xfId="28" builtinId="49" customBuiltin="1"/>
    <cellStyle name="Entrada 2" xfId="2494" xr:uid="{00000000-0005-0000-0000-000009050000}"/>
    <cellStyle name="Entrada 3" xfId="709" xr:uid="{00000000-0005-0000-0000-000008050000}"/>
    <cellStyle name="estimated price" xfId="710" xr:uid="{00000000-0005-0000-0000-00000A050000}"/>
    <cellStyle name="Euro" xfId="48" xr:uid="{00000000-0005-0000-0000-00000B050000}"/>
    <cellStyle name="Euro 2" xfId="113" xr:uid="{00000000-0005-0000-0000-00000C050000}"/>
    <cellStyle name="Euro 2 2" xfId="114" xr:uid="{00000000-0005-0000-0000-00000D050000}"/>
    <cellStyle name="Euro 3" xfId="115" xr:uid="{00000000-0005-0000-0000-00000E050000}"/>
    <cellStyle name="Euro_Market Performance" xfId="711" xr:uid="{00000000-0005-0000-0000-00000F050000}"/>
    <cellStyle name="Explanatory Text 2" xfId="116" xr:uid="{00000000-0005-0000-0000-000010050000}"/>
    <cellStyle name="Fixed" xfId="712" xr:uid="{00000000-0005-0000-0000-000011050000}"/>
    <cellStyle name="Good 2" xfId="117" xr:uid="{00000000-0005-0000-0000-000012050000}"/>
    <cellStyle name="Grey" xfId="713" xr:uid="{00000000-0005-0000-0000-000013050000}"/>
    <cellStyle name="HEADER" xfId="714" xr:uid="{00000000-0005-0000-0000-000014050000}"/>
    <cellStyle name="Header1" xfId="715" xr:uid="{00000000-0005-0000-0000-000015050000}"/>
    <cellStyle name="Header2" xfId="716" xr:uid="{00000000-0005-0000-0000-000016050000}"/>
    <cellStyle name="HEADING" xfId="717" xr:uid="{00000000-0005-0000-0000-000017050000}"/>
    <cellStyle name="Heading 1 2" xfId="118" xr:uid="{00000000-0005-0000-0000-000018050000}"/>
    <cellStyle name="Heading 2 2" xfId="119" xr:uid="{00000000-0005-0000-0000-000019050000}"/>
    <cellStyle name="Heading 3 2" xfId="120" xr:uid="{00000000-0005-0000-0000-00001A050000}"/>
    <cellStyle name="Heading 4 2" xfId="121" xr:uid="{00000000-0005-0000-0000-00001B050000}"/>
    <cellStyle name="Heading1" xfId="718" xr:uid="{00000000-0005-0000-0000-00001C050000}"/>
    <cellStyle name="Heading1 2" xfId="719" xr:uid="{00000000-0005-0000-0000-00001D050000}"/>
    <cellStyle name="Heading1_Market Performance" xfId="720" xr:uid="{00000000-0005-0000-0000-00001E050000}"/>
    <cellStyle name="Heading2" xfId="721" xr:uid="{00000000-0005-0000-0000-00001F050000}"/>
    <cellStyle name="Heading2 2" xfId="722" xr:uid="{00000000-0005-0000-0000-000020050000}"/>
    <cellStyle name="Heading2_Market Performance" xfId="723" xr:uid="{00000000-0005-0000-0000-000021050000}"/>
    <cellStyle name="HIGHLIGHT" xfId="724" xr:uid="{00000000-0005-0000-0000-000022050000}"/>
    <cellStyle name="hong kong" xfId="725" xr:uid="{00000000-0005-0000-0000-000024050000}"/>
    <cellStyle name="Hyperlink 2" xfId="54" xr:uid="{00000000-0005-0000-0000-000025050000}"/>
    <cellStyle name="Hyperlink 3" xfId="122" xr:uid="{00000000-0005-0000-0000-000026050000}"/>
    <cellStyle name="Incorrecto 2" xfId="2492" xr:uid="{00000000-0005-0000-0000-000028050000}"/>
    <cellStyle name="Incorrecto 3" xfId="726" xr:uid="{00000000-0005-0000-0000-000027050000}"/>
    <cellStyle name="Input [yellow]" xfId="727" xr:uid="{00000000-0005-0000-0000-000029050000}"/>
    <cellStyle name="Input 2" xfId="123" xr:uid="{00000000-0005-0000-0000-00002A050000}"/>
    <cellStyle name="Input 3" xfId="1337" xr:uid="{00000000-0005-0000-0000-00002B050000}"/>
    <cellStyle name="Komma_Contractafspraken GM 2004 vs 2003" xfId="124" xr:uid="{00000000-0005-0000-0000-00002C050000}"/>
    <cellStyle name="Linked Cell 2" xfId="125" xr:uid="{00000000-0005-0000-0000-00002D050000}"/>
    <cellStyle name="Lite Shading" xfId="1066" xr:uid="{00000000-0005-0000-0000-00002E050000}"/>
    <cellStyle name="Migliaia_TV" xfId="49" xr:uid="{00000000-0005-0000-0000-00002F050000}"/>
    <cellStyle name="Millares" xfId="1" builtinId="3"/>
    <cellStyle name="Millares 19 3" xfId="1017" xr:uid="{00000000-0005-0000-0000-000031050000}"/>
    <cellStyle name="Millares 19 3 2" xfId="1039" xr:uid="{00000000-0005-0000-0000-000032050000}"/>
    <cellStyle name="Millares 19 3 2 2" xfId="1125" xr:uid="{00000000-0005-0000-0000-000033050000}"/>
    <cellStyle name="Millares 19 3 2 2 2" xfId="1300" xr:uid="{00000000-0005-0000-0000-000034050000}"/>
    <cellStyle name="Millares 19 3 2 2 2 2" xfId="1703" xr:uid="{00000000-0005-0000-0000-000035050000}"/>
    <cellStyle name="Millares 19 3 2 2 2 2 2" xfId="2476" xr:uid="{00000000-0005-0000-0000-000036050000}"/>
    <cellStyle name="Millares 19 3 2 2 2 3" xfId="1501" xr:uid="{00000000-0005-0000-0000-000037050000}"/>
    <cellStyle name="Millares 19 3 2 2 2 3 2" xfId="2276" xr:uid="{00000000-0005-0000-0000-000038050000}"/>
    <cellStyle name="Millares 19 3 2 2 2 4" xfId="2103" xr:uid="{00000000-0005-0000-0000-000039050000}"/>
    <cellStyle name="Millares 19 3 2 2 3" xfId="1626" xr:uid="{00000000-0005-0000-0000-00003A050000}"/>
    <cellStyle name="Millares 19 3 2 2 3 2" xfId="2399" xr:uid="{00000000-0005-0000-0000-00003B050000}"/>
    <cellStyle name="Millares 19 3 2 2 4" xfId="1424" xr:uid="{00000000-0005-0000-0000-00003C050000}"/>
    <cellStyle name="Millares 19 3 2 2 4 2" xfId="2199" xr:uid="{00000000-0005-0000-0000-00003D050000}"/>
    <cellStyle name="Millares 19 3 2 2 5" xfId="1928" xr:uid="{00000000-0005-0000-0000-00003E050000}"/>
    <cellStyle name="Millares 19 3 2 3" xfId="1226" xr:uid="{00000000-0005-0000-0000-00003F050000}"/>
    <cellStyle name="Millares 19 3 2 3 2" xfId="1673" xr:uid="{00000000-0005-0000-0000-000040050000}"/>
    <cellStyle name="Millares 19 3 2 3 2 2" xfId="2446" xr:uid="{00000000-0005-0000-0000-000041050000}"/>
    <cellStyle name="Millares 19 3 2 3 3" xfId="1471" xr:uid="{00000000-0005-0000-0000-000042050000}"/>
    <cellStyle name="Millares 19 3 2 3 3 2" xfId="2246" xr:uid="{00000000-0005-0000-0000-000043050000}"/>
    <cellStyle name="Millares 19 3 2 3 4" xfId="2029" xr:uid="{00000000-0005-0000-0000-000044050000}"/>
    <cellStyle name="Millares 19 3 2 4" xfId="1596" xr:uid="{00000000-0005-0000-0000-000045050000}"/>
    <cellStyle name="Millares 19 3 2 4 2" xfId="2369" xr:uid="{00000000-0005-0000-0000-000046050000}"/>
    <cellStyle name="Millares 19 3 2 5" xfId="1394" xr:uid="{00000000-0005-0000-0000-000047050000}"/>
    <cellStyle name="Millares 19 3 2 5 2" xfId="2169" xr:uid="{00000000-0005-0000-0000-000048050000}"/>
    <cellStyle name="Millares 19 3 2 6" xfId="1854" xr:uid="{00000000-0005-0000-0000-000049050000}"/>
    <cellStyle name="Millares 19 3 3" xfId="1108" xr:uid="{00000000-0005-0000-0000-00004A050000}"/>
    <cellStyle name="Millares 19 3 3 2" xfId="1283" xr:uid="{00000000-0005-0000-0000-00004B050000}"/>
    <cellStyle name="Millares 19 3 3 2 2" xfId="1699" xr:uid="{00000000-0005-0000-0000-00004C050000}"/>
    <cellStyle name="Millares 19 3 3 2 2 2" xfId="2472" xr:uid="{00000000-0005-0000-0000-00004D050000}"/>
    <cellStyle name="Millares 19 3 3 2 3" xfId="1497" xr:uid="{00000000-0005-0000-0000-00004E050000}"/>
    <cellStyle name="Millares 19 3 3 2 3 2" xfId="2272" xr:uid="{00000000-0005-0000-0000-00004F050000}"/>
    <cellStyle name="Millares 19 3 3 2 4" xfId="2086" xr:uid="{00000000-0005-0000-0000-000050050000}"/>
    <cellStyle name="Millares 19 3 3 3" xfId="1622" xr:uid="{00000000-0005-0000-0000-000051050000}"/>
    <cellStyle name="Millares 19 3 3 3 2" xfId="2395" xr:uid="{00000000-0005-0000-0000-000052050000}"/>
    <cellStyle name="Millares 19 3 3 4" xfId="1420" xr:uid="{00000000-0005-0000-0000-000053050000}"/>
    <cellStyle name="Millares 19 3 3 4 2" xfId="2195" xr:uid="{00000000-0005-0000-0000-000054050000}"/>
    <cellStyle name="Millares 19 3 3 5" xfId="1911" xr:uid="{00000000-0005-0000-0000-000055050000}"/>
    <cellStyle name="Millares 19 3 4" xfId="1209" xr:uid="{00000000-0005-0000-0000-000056050000}"/>
    <cellStyle name="Millares 19 3 4 2" xfId="1669" xr:uid="{00000000-0005-0000-0000-000057050000}"/>
    <cellStyle name="Millares 19 3 4 2 2" xfId="2442" xr:uid="{00000000-0005-0000-0000-000058050000}"/>
    <cellStyle name="Millares 19 3 4 3" xfId="1467" xr:uid="{00000000-0005-0000-0000-000059050000}"/>
    <cellStyle name="Millares 19 3 4 3 2" xfId="2242" xr:uid="{00000000-0005-0000-0000-00005A050000}"/>
    <cellStyle name="Millares 19 3 4 4" xfId="2012" xr:uid="{00000000-0005-0000-0000-00005B050000}"/>
    <cellStyle name="Millares 19 3 5" xfId="1592" xr:uid="{00000000-0005-0000-0000-00005C050000}"/>
    <cellStyle name="Millares 19 3 5 2" xfId="2365" xr:uid="{00000000-0005-0000-0000-00005D050000}"/>
    <cellStyle name="Millares 19 3 6" xfId="1390" xr:uid="{00000000-0005-0000-0000-00005E050000}"/>
    <cellStyle name="Millares 19 3 6 2" xfId="2165" xr:uid="{00000000-0005-0000-0000-00005F050000}"/>
    <cellStyle name="Millares 19 3 7" xfId="1837" xr:uid="{00000000-0005-0000-0000-000060050000}"/>
    <cellStyle name="Millares 2" xfId="728" xr:uid="{00000000-0005-0000-0000-000061050000}"/>
    <cellStyle name="Millares 2 2" xfId="729" xr:uid="{00000000-0005-0000-0000-000062050000}"/>
    <cellStyle name="Millares 2 2 2" xfId="829" xr:uid="{00000000-0005-0000-0000-000063050000}"/>
    <cellStyle name="Millares 2 2 2 2" xfId="863" xr:uid="{00000000-0005-0000-0000-000064050000}"/>
    <cellStyle name="Millares 2 2 2 2 2" xfId="1130" xr:uid="{00000000-0005-0000-0000-000065050000}"/>
    <cellStyle name="Millares 2 2 2 2 2 2" xfId="1305" xr:uid="{00000000-0005-0000-0000-000066050000}"/>
    <cellStyle name="Millares 2 2 2 2 2 2 2" xfId="1704" xr:uid="{00000000-0005-0000-0000-000067050000}"/>
    <cellStyle name="Millares 2 2 2 2 2 2 2 2" xfId="2477" xr:uid="{00000000-0005-0000-0000-000068050000}"/>
    <cellStyle name="Millares 2 2 2 2 2 2 3" xfId="1502" xr:uid="{00000000-0005-0000-0000-000069050000}"/>
    <cellStyle name="Millares 2 2 2 2 2 2 3 2" xfId="2277" xr:uid="{00000000-0005-0000-0000-00006A050000}"/>
    <cellStyle name="Millares 2 2 2 2 2 2 4" xfId="2108" xr:uid="{00000000-0005-0000-0000-00006B050000}"/>
    <cellStyle name="Millares 2 2 2 2 2 3" xfId="1627" xr:uid="{00000000-0005-0000-0000-00006C050000}"/>
    <cellStyle name="Millares 2 2 2 2 2 3 2" xfId="2400" xr:uid="{00000000-0005-0000-0000-00006D050000}"/>
    <cellStyle name="Millares 2 2 2 2 2 4" xfId="1425" xr:uid="{00000000-0005-0000-0000-00006E050000}"/>
    <cellStyle name="Millares 2 2 2 2 2 4 2" xfId="2200" xr:uid="{00000000-0005-0000-0000-00006F050000}"/>
    <cellStyle name="Millares 2 2 2 2 2 5" xfId="1933" xr:uid="{00000000-0005-0000-0000-000070050000}"/>
    <cellStyle name="Millares 2 2 2 2 3" xfId="1231" xr:uid="{00000000-0005-0000-0000-000071050000}"/>
    <cellStyle name="Millares 2 2 2 2 3 2" xfId="1674" xr:uid="{00000000-0005-0000-0000-000072050000}"/>
    <cellStyle name="Millares 2 2 2 2 3 2 2" xfId="2447" xr:uid="{00000000-0005-0000-0000-000073050000}"/>
    <cellStyle name="Millares 2 2 2 2 3 3" xfId="1472" xr:uid="{00000000-0005-0000-0000-000074050000}"/>
    <cellStyle name="Millares 2 2 2 2 3 3 2" xfId="2247" xr:uid="{00000000-0005-0000-0000-000075050000}"/>
    <cellStyle name="Millares 2 2 2 2 3 4" xfId="2034" xr:uid="{00000000-0005-0000-0000-000076050000}"/>
    <cellStyle name="Millares 2 2 2 2 4" xfId="1044" xr:uid="{00000000-0005-0000-0000-000077050000}"/>
    <cellStyle name="Millares 2 2 2 2 4 2" xfId="1597" xr:uid="{00000000-0005-0000-0000-000078050000}"/>
    <cellStyle name="Millares 2 2 2 2 4 2 2" xfId="2370" xr:uid="{00000000-0005-0000-0000-000079050000}"/>
    <cellStyle name="Millares 2 2 2 2 4 3" xfId="1859" xr:uid="{00000000-0005-0000-0000-00007A050000}"/>
    <cellStyle name="Millares 2 2 2 2 5" xfId="1551" xr:uid="{00000000-0005-0000-0000-00007B050000}"/>
    <cellStyle name="Millares 2 2 2 2 5 2" xfId="2325" xr:uid="{00000000-0005-0000-0000-00007C050000}"/>
    <cellStyle name="Millares 2 2 2 2 6" xfId="1395" xr:uid="{00000000-0005-0000-0000-00007D050000}"/>
    <cellStyle name="Millares 2 2 2 2 6 2" xfId="2170" xr:uid="{00000000-0005-0000-0000-00007E050000}"/>
    <cellStyle name="Millares 2 2 2 2 7" xfId="1773" xr:uid="{00000000-0005-0000-0000-00007F050000}"/>
    <cellStyle name="Millares 2 2 2 3" xfId="979" xr:uid="{00000000-0005-0000-0000-000080050000}"/>
    <cellStyle name="Millares 2 2 2 3 2" xfId="1183" xr:uid="{00000000-0005-0000-0000-000081050000}"/>
    <cellStyle name="Millares 2 2 2 3 2 2" xfId="1659" xr:uid="{00000000-0005-0000-0000-000082050000}"/>
    <cellStyle name="Millares 2 2 2 3 2 2 2" xfId="2432" xr:uid="{00000000-0005-0000-0000-000083050000}"/>
    <cellStyle name="Millares 2 2 2 3 2 3" xfId="1457" xr:uid="{00000000-0005-0000-0000-000084050000}"/>
    <cellStyle name="Millares 2 2 2 3 2 3 2" xfId="2232" xr:uid="{00000000-0005-0000-0000-000085050000}"/>
    <cellStyle name="Millares 2 2 2 3 2 4" xfId="1986" xr:uid="{00000000-0005-0000-0000-000086050000}"/>
    <cellStyle name="Millares 2 2 2 3 3" xfId="1582" xr:uid="{00000000-0005-0000-0000-000087050000}"/>
    <cellStyle name="Millares 2 2 2 3 3 2" xfId="2355" xr:uid="{00000000-0005-0000-0000-000088050000}"/>
    <cellStyle name="Millares 2 2 2 3 4" xfId="1380" xr:uid="{00000000-0005-0000-0000-000089050000}"/>
    <cellStyle name="Millares 2 2 2 3 4 2" xfId="2155" xr:uid="{00000000-0005-0000-0000-00008A050000}"/>
    <cellStyle name="Millares 2 2 2 3 5" xfId="1812" xr:uid="{00000000-0005-0000-0000-00008B050000}"/>
    <cellStyle name="Millares 2 2 2 4" xfId="1082" xr:uid="{00000000-0005-0000-0000-00008C050000}"/>
    <cellStyle name="Millares 2 2 2 4 2" xfId="1257" xr:uid="{00000000-0005-0000-0000-00008D050000}"/>
    <cellStyle name="Millares 2 2 2 4 2 2" xfId="1689" xr:uid="{00000000-0005-0000-0000-00008E050000}"/>
    <cellStyle name="Millares 2 2 2 4 2 2 2" xfId="2462" xr:uid="{00000000-0005-0000-0000-00008F050000}"/>
    <cellStyle name="Millares 2 2 2 4 2 3" xfId="1487" xr:uid="{00000000-0005-0000-0000-000090050000}"/>
    <cellStyle name="Millares 2 2 2 4 2 3 2" xfId="2262" xr:uid="{00000000-0005-0000-0000-000091050000}"/>
    <cellStyle name="Millares 2 2 2 4 2 4" xfId="2060" xr:uid="{00000000-0005-0000-0000-000092050000}"/>
    <cellStyle name="Millares 2 2 2 4 3" xfId="1612" xr:uid="{00000000-0005-0000-0000-000093050000}"/>
    <cellStyle name="Millares 2 2 2 4 3 2" xfId="2385" xr:uid="{00000000-0005-0000-0000-000094050000}"/>
    <cellStyle name="Millares 2 2 2 4 4" xfId="1410" xr:uid="{00000000-0005-0000-0000-000095050000}"/>
    <cellStyle name="Millares 2 2 2 4 4 2" xfId="2185" xr:uid="{00000000-0005-0000-0000-000096050000}"/>
    <cellStyle name="Millares 2 2 2 4 5" xfId="1885" xr:uid="{00000000-0005-0000-0000-000097050000}"/>
    <cellStyle name="Millares 2 2 2 5" xfId="1156" xr:uid="{00000000-0005-0000-0000-000098050000}"/>
    <cellStyle name="Millares 2 2 2 5 2" xfId="1642" xr:uid="{00000000-0005-0000-0000-000099050000}"/>
    <cellStyle name="Millares 2 2 2 5 2 2" xfId="2415" xr:uid="{00000000-0005-0000-0000-00009A050000}"/>
    <cellStyle name="Millares 2 2 2 5 3" xfId="1440" xr:uid="{00000000-0005-0000-0000-00009B050000}"/>
    <cellStyle name="Millares 2 2 2 5 3 2" xfId="2215" xr:uid="{00000000-0005-0000-0000-00009C050000}"/>
    <cellStyle name="Millares 2 2 2 5 4" xfId="1959" xr:uid="{00000000-0005-0000-0000-00009D050000}"/>
    <cellStyle name="Millares 2 2 2 6" xfId="921" xr:uid="{00000000-0005-0000-0000-00009E050000}"/>
    <cellStyle name="Millares 2 2 2 6 2" xfId="1565" xr:uid="{00000000-0005-0000-0000-00009F050000}"/>
    <cellStyle name="Millares 2 2 2 6 2 2" xfId="2338" xr:uid="{00000000-0005-0000-0000-0000A0050000}"/>
    <cellStyle name="Millares 2 2 2 6 3" xfId="1788" xr:uid="{00000000-0005-0000-0000-0000A1050000}"/>
    <cellStyle name="Millares 2 2 2 7" xfId="1523" xr:uid="{00000000-0005-0000-0000-0000A2050000}"/>
    <cellStyle name="Millares 2 2 2 7 2" xfId="2297" xr:uid="{00000000-0005-0000-0000-0000A3050000}"/>
    <cellStyle name="Millares 2 2 2 8" xfId="1363" xr:uid="{00000000-0005-0000-0000-0000A4050000}"/>
    <cellStyle name="Millares 2 2 2 8 2" xfId="2138" xr:uid="{00000000-0005-0000-0000-0000A5050000}"/>
    <cellStyle name="Millares 2 2 2 9" xfId="1739" xr:uid="{00000000-0005-0000-0000-0000A6050000}"/>
    <cellStyle name="Millares 2 2 3" xfId="846" xr:uid="{00000000-0005-0000-0000-0000A7050000}"/>
    <cellStyle name="Millares 2 2 3 2" xfId="1113" xr:uid="{00000000-0005-0000-0000-0000A8050000}"/>
    <cellStyle name="Millares 2 2 3 2 2" xfId="1288" xr:uid="{00000000-0005-0000-0000-0000A9050000}"/>
    <cellStyle name="Millares 2 2 3 2 2 2" xfId="1700" xr:uid="{00000000-0005-0000-0000-0000AA050000}"/>
    <cellStyle name="Millares 2 2 3 2 2 2 2" xfId="2473" xr:uid="{00000000-0005-0000-0000-0000AB050000}"/>
    <cellStyle name="Millares 2 2 3 2 2 3" xfId="1498" xr:uid="{00000000-0005-0000-0000-0000AC050000}"/>
    <cellStyle name="Millares 2 2 3 2 2 3 2" xfId="2273" xr:uid="{00000000-0005-0000-0000-0000AD050000}"/>
    <cellStyle name="Millares 2 2 3 2 2 4" xfId="2091" xr:uid="{00000000-0005-0000-0000-0000AE050000}"/>
    <cellStyle name="Millares 2 2 3 2 3" xfId="1623" xr:uid="{00000000-0005-0000-0000-0000AF050000}"/>
    <cellStyle name="Millares 2 2 3 2 3 2" xfId="2396" xr:uid="{00000000-0005-0000-0000-0000B0050000}"/>
    <cellStyle name="Millares 2 2 3 2 4" xfId="1421" xr:uid="{00000000-0005-0000-0000-0000B1050000}"/>
    <cellStyle name="Millares 2 2 3 2 4 2" xfId="2196" xr:uid="{00000000-0005-0000-0000-0000B2050000}"/>
    <cellStyle name="Millares 2 2 3 2 5" xfId="1916" xr:uid="{00000000-0005-0000-0000-0000B3050000}"/>
    <cellStyle name="Millares 2 2 3 3" xfId="1214" xr:uid="{00000000-0005-0000-0000-0000B4050000}"/>
    <cellStyle name="Millares 2 2 3 3 2" xfId="1670" xr:uid="{00000000-0005-0000-0000-0000B5050000}"/>
    <cellStyle name="Millares 2 2 3 3 2 2" xfId="2443" xr:uid="{00000000-0005-0000-0000-0000B6050000}"/>
    <cellStyle name="Millares 2 2 3 3 3" xfId="1468" xr:uid="{00000000-0005-0000-0000-0000B7050000}"/>
    <cellStyle name="Millares 2 2 3 3 3 2" xfId="2243" xr:uid="{00000000-0005-0000-0000-0000B8050000}"/>
    <cellStyle name="Millares 2 2 3 3 4" xfId="2017" xr:uid="{00000000-0005-0000-0000-0000B9050000}"/>
    <cellStyle name="Millares 2 2 3 4" xfId="1024" xr:uid="{00000000-0005-0000-0000-0000BA050000}"/>
    <cellStyle name="Millares 2 2 3 4 2" xfId="1593" xr:uid="{00000000-0005-0000-0000-0000BB050000}"/>
    <cellStyle name="Millares 2 2 3 4 2 2" xfId="2366" xr:uid="{00000000-0005-0000-0000-0000BC050000}"/>
    <cellStyle name="Millares 2 2 3 4 3" xfId="1842" xr:uid="{00000000-0005-0000-0000-0000BD050000}"/>
    <cellStyle name="Millares 2 2 3 5" xfId="1537" xr:uid="{00000000-0005-0000-0000-0000BE050000}"/>
    <cellStyle name="Millares 2 2 3 5 2" xfId="2311" xr:uid="{00000000-0005-0000-0000-0000BF050000}"/>
    <cellStyle name="Millares 2 2 3 6" xfId="1391" xr:uid="{00000000-0005-0000-0000-0000C0050000}"/>
    <cellStyle name="Millares 2 2 3 6 2" xfId="2166" xr:uid="{00000000-0005-0000-0000-0000C1050000}"/>
    <cellStyle name="Millares 2 2 3 7" xfId="1756" xr:uid="{00000000-0005-0000-0000-0000C2050000}"/>
    <cellStyle name="Millares 2 3" xfId="816" xr:uid="{00000000-0005-0000-0000-0000C3050000}"/>
    <cellStyle name="Millares 2 3 10" xfId="1362" xr:uid="{00000000-0005-0000-0000-0000C4050000}"/>
    <cellStyle name="Millares 2 3 10 2" xfId="2137" xr:uid="{00000000-0005-0000-0000-0000C5050000}"/>
    <cellStyle name="Millares 2 3 11" xfId="1726" xr:uid="{00000000-0005-0000-0000-0000C6050000}"/>
    <cellStyle name="Millares 2 3 2" xfId="833" xr:uid="{00000000-0005-0000-0000-0000C7050000}"/>
    <cellStyle name="Millares 2 3 2 2" xfId="989" xr:uid="{00000000-0005-0000-0000-0000C8050000}"/>
    <cellStyle name="Millares 2 3 2 2 2" xfId="1194" xr:uid="{00000000-0005-0000-0000-0000C9050000}"/>
    <cellStyle name="Millares 2 3 2 2 2 2" xfId="1664" xr:uid="{00000000-0005-0000-0000-0000CA050000}"/>
    <cellStyle name="Millares 2 3 2 2 2 2 2" xfId="2437" xr:uid="{00000000-0005-0000-0000-0000CB050000}"/>
    <cellStyle name="Millares 2 3 2 2 2 3" xfId="1462" xr:uid="{00000000-0005-0000-0000-0000CC050000}"/>
    <cellStyle name="Millares 2 3 2 2 2 3 2" xfId="2237" xr:uid="{00000000-0005-0000-0000-0000CD050000}"/>
    <cellStyle name="Millares 2 3 2 2 2 4" xfId="1997" xr:uid="{00000000-0005-0000-0000-0000CE050000}"/>
    <cellStyle name="Millares 2 3 2 2 3" xfId="1587" xr:uid="{00000000-0005-0000-0000-0000CF050000}"/>
    <cellStyle name="Millares 2 3 2 2 3 2" xfId="2360" xr:uid="{00000000-0005-0000-0000-0000D0050000}"/>
    <cellStyle name="Millares 2 3 2 2 4" xfId="1385" xr:uid="{00000000-0005-0000-0000-0000D1050000}"/>
    <cellStyle name="Millares 2 3 2 2 4 2" xfId="2160" xr:uid="{00000000-0005-0000-0000-0000D2050000}"/>
    <cellStyle name="Millares 2 3 2 2 5" xfId="1822" xr:uid="{00000000-0005-0000-0000-0000D3050000}"/>
    <cellStyle name="Millares 2 3 2 3" xfId="1093" xr:uid="{00000000-0005-0000-0000-0000D4050000}"/>
    <cellStyle name="Millares 2 3 2 3 2" xfId="1268" xr:uid="{00000000-0005-0000-0000-0000D5050000}"/>
    <cellStyle name="Millares 2 3 2 3 2 2" xfId="1694" xr:uid="{00000000-0005-0000-0000-0000D6050000}"/>
    <cellStyle name="Millares 2 3 2 3 2 2 2" xfId="2467" xr:uid="{00000000-0005-0000-0000-0000D7050000}"/>
    <cellStyle name="Millares 2 3 2 3 2 3" xfId="1492" xr:uid="{00000000-0005-0000-0000-0000D8050000}"/>
    <cellStyle name="Millares 2 3 2 3 2 3 2" xfId="2267" xr:uid="{00000000-0005-0000-0000-0000D9050000}"/>
    <cellStyle name="Millares 2 3 2 3 2 4" xfId="2071" xr:uid="{00000000-0005-0000-0000-0000DA050000}"/>
    <cellStyle name="Millares 2 3 2 3 3" xfId="1617" xr:uid="{00000000-0005-0000-0000-0000DB050000}"/>
    <cellStyle name="Millares 2 3 2 3 3 2" xfId="2390" xr:uid="{00000000-0005-0000-0000-0000DC050000}"/>
    <cellStyle name="Millares 2 3 2 3 4" xfId="1415" xr:uid="{00000000-0005-0000-0000-0000DD050000}"/>
    <cellStyle name="Millares 2 3 2 3 4 2" xfId="2190" xr:uid="{00000000-0005-0000-0000-0000DE050000}"/>
    <cellStyle name="Millares 2 3 2 3 5" xfId="1896" xr:uid="{00000000-0005-0000-0000-0000DF050000}"/>
    <cellStyle name="Millares 2 3 2 4" xfId="1167" xr:uid="{00000000-0005-0000-0000-0000E0050000}"/>
    <cellStyle name="Millares 2 3 2 4 2" xfId="1647" xr:uid="{00000000-0005-0000-0000-0000E1050000}"/>
    <cellStyle name="Millares 2 3 2 4 2 2" xfId="2420" xr:uid="{00000000-0005-0000-0000-0000E2050000}"/>
    <cellStyle name="Millares 2 3 2 4 3" xfId="1445" xr:uid="{00000000-0005-0000-0000-0000E3050000}"/>
    <cellStyle name="Millares 2 3 2 4 3 2" xfId="2220" xr:uid="{00000000-0005-0000-0000-0000E4050000}"/>
    <cellStyle name="Millares 2 3 2 4 4" xfId="1970" xr:uid="{00000000-0005-0000-0000-0000E5050000}"/>
    <cellStyle name="Millares 2 3 2 5" xfId="933" xr:uid="{00000000-0005-0000-0000-0000E6050000}"/>
    <cellStyle name="Millares 2 3 2 5 2" xfId="1570" xr:uid="{00000000-0005-0000-0000-0000E7050000}"/>
    <cellStyle name="Millares 2 3 2 5 2 2" xfId="2343" xr:uid="{00000000-0005-0000-0000-0000E8050000}"/>
    <cellStyle name="Millares 2 3 2 5 3" xfId="1797" xr:uid="{00000000-0005-0000-0000-0000E9050000}"/>
    <cellStyle name="Millares 2 3 2 6" xfId="1526" xr:uid="{00000000-0005-0000-0000-0000EA050000}"/>
    <cellStyle name="Millares 2 3 2 6 2" xfId="2300" xr:uid="{00000000-0005-0000-0000-0000EB050000}"/>
    <cellStyle name="Millares 2 3 2 7" xfId="1368" xr:uid="{00000000-0005-0000-0000-0000EC050000}"/>
    <cellStyle name="Millares 2 3 2 7 2" xfId="2143" xr:uid="{00000000-0005-0000-0000-0000ED050000}"/>
    <cellStyle name="Millares 2 3 2 8" xfId="1743" xr:uid="{00000000-0005-0000-0000-0000EE050000}"/>
    <cellStyle name="Millares 2 3 3" xfId="850" xr:uid="{00000000-0005-0000-0000-0000EF050000}"/>
    <cellStyle name="Millares 2 3 3 2" xfId="1027" xr:uid="{00000000-0005-0000-0000-0000F0050000}"/>
    <cellStyle name="Millares 2 3 3 3" xfId="1540" xr:uid="{00000000-0005-0000-0000-0000F1050000}"/>
    <cellStyle name="Millares 2 3 3 3 2" xfId="2314" xr:uid="{00000000-0005-0000-0000-0000F2050000}"/>
    <cellStyle name="Millares 2 3 3 4" xfId="1760" xr:uid="{00000000-0005-0000-0000-0000F3050000}"/>
    <cellStyle name="Millares 2 3 4" xfId="978" xr:uid="{00000000-0005-0000-0000-0000F4050000}"/>
    <cellStyle name="Millares 2 3 4 2" xfId="1182" xr:uid="{00000000-0005-0000-0000-0000F5050000}"/>
    <cellStyle name="Millares 2 3 4 2 2" xfId="1658" xr:uid="{00000000-0005-0000-0000-0000F6050000}"/>
    <cellStyle name="Millares 2 3 4 2 2 2" xfId="2431" xr:uid="{00000000-0005-0000-0000-0000F7050000}"/>
    <cellStyle name="Millares 2 3 4 2 3" xfId="1456" xr:uid="{00000000-0005-0000-0000-0000F8050000}"/>
    <cellStyle name="Millares 2 3 4 2 3 2" xfId="2231" xr:uid="{00000000-0005-0000-0000-0000F9050000}"/>
    <cellStyle name="Millares 2 3 4 2 4" xfId="1985" xr:uid="{00000000-0005-0000-0000-0000FA050000}"/>
    <cellStyle name="Millares 2 3 4 3" xfId="1581" xr:uid="{00000000-0005-0000-0000-0000FB050000}"/>
    <cellStyle name="Millares 2 3 4 3 2" xfId="2354" xr:uid="{00000000-0005-0000-0000-0000FC050000}"/>
    <cellStyle name="Millares 2 3 4 4" xfId="1379" xr:uid="{00000000-0005-0000-0000-0000FD050000}"/>
    <cellStyle name="Millares 2 3 4 4 2" xfId="2154" xr:uid="{00000000-0005-0000-0000-0000FE050000}"/>
    <cellStyle name="Millares 2 3 4 5" xfId="1811" xr:uid="{00000000-0005-0000-0000-0000FF050000}"/>
    <cellStyle name="Millares 2 3 5" xfId="1081" xr:uid="{00000000-0005-0000-0000-000000060000}"/>
    <cellStyle name="Millares 2 3 5 2" xfId="1256" xr:uid="{00000000-0005-0000-0000-000001060000}"/>
    <cellStyle name="Millares 2 3 5 2 2" xfId="1688" xr:uid="{00000000-0005-0000-0000-000002060000}"/>
    <cellStyle name="Millares 2 3 5 2 2 2" xfId="2461" xr:uid="{00000000-0005-0000-0000-000003060000}"/>
    <cellStyle name="Millares 2 3 5 2 3" xfId="1486" xr:uid="{00000000-0005-0000-0000-000004060000}"/>
    <cellStyle name="Millares 2 3 5 2 3 2" xfId="2261" xr:uid="{00000000-0005-0000-0000-000005060000}"/>
    <cellStyle name="Millares 2 3 5 2 4" xfId="2059" xr:uid="{00000000-0005-0000-0000-000006060000}"/>
    <cellStyle name="Millares 2 3 5 3" xfId="1611" xr:uid="{00000000-0005-0000-0000-000007060000}"/>
    <cellStyle name="Millares 2 3 5 3 2" xfId="2384" xr:uid="{00000000-0005-0000-0000-000008060000}"/>
    <cellStyle name="Millares 2 3 5 4" xfId="1409" xr:uid="{00000000-0005-0000-0000-000009060000}"/>
    <cellStyle name="Millares 2 3 5 4 2" xfId="2184" xr:uid="{00000000-0005-0000-0000-00000A060000}"/>
    <cellStyle name="Millares 2 3 5 5" xfId="1884" xr:uid="{00000000-0005-0000-0000-00000B060000}"/>
    <cellStyle name="Millares 2 3 6" xfId="1155" xr:uid="{00000000-0005-0000-0000-00000C060000}"/>
    <cellStyle name="Millares 2 3 6 2" xfId="1641" xr:uid="{00000000-0005-0000-0000-00000D060000}"/>
    <cellStyle name="Millares 2 3 6 2 2" xfId="2414" xr:uid="{00000000-0005-0000-0000-00000E060000}"/>
    <cellStyle name="Millares 2 3 6 3" xfId="1439" xr:uid="{00000000-0005-0000-0000-00000F060000}"/>
    <cellStyle name="Millares 2 3 6 3 2" xfId="2214" xr:uid="{00000000-0005-0000-0000-000010060000}"/>
    <cellStyle name="Millares 2 3 6 4" xfId="1958" xr:uid="{00000000-0005-0000-0000-000011060000}"/>
    <cellStyle name="Millares 2 3 7" xfId="1347" xr:uid="{00000000-0005-0000-0000-000012060000}"/>
    <cellStyle name="Millares 2 3 8" xfId="920" xr:uid="{00000000-0005-0000-0000-000013060000}"/>
    <cellStyle name="Millares 2 3 8 2" xfId="1564" xr:uid="{00000000-0005-0000-0000-000014060000}"/>
    <cellStyle name="Millares 2 3 8 2 2" xfId="2337" xr:uid="{00000000-0005-0000-0000-000015060000}"/>
    <cellStyle name="Millares 2 3 8 3" xfId="1787" xr:uid="{00000000-0005-0000-0000-000016060000}"/>
    <cellStyle name="Millares 2 3 9" xfId="1512" xr:uid="{00000000-0005-0000-0000-000017060000}"/>
    <cellStyle name="Millares 2 3 9 2" xfId="2286" xr:uid="{00000000-0005-0000-0000-000018060000}"/>
    <cellStyle name="Millares 2 4" xfId="828" xr:uid="{00000000-0005-0000-0000-000019060000}"/>
    <cellStyle name="Millares 2 4 2" xfId="862" xr:uid="{00000000-0005-0000-0000-00001A060000}"/>
    <cellStyle name="Millares 2 4 2 2" xfId="1296" xr:uid="{00000000-0005-0000-0000-00001B060000}"/>
    <cellStyle name="Millares 2 4 2 2 2" xfId="1702" xr:uid="{00000000-0005-0000-0000-00001C060000}"/>
    <cellStyle name="Millares 2 4 2 2 2 2" xfId="2475" xr:uid="{00000000-0005-0000-0000-00001D060000}"/>
    <cellStyle name="Millares 2 4 2 2 3" xfId="1500" xr:uid="{00000000-0005-0000-0000-00001E060000}"/>
    <cellStyle name="Millares 2 4 2 2 3 2" xfId="2275" xr:uid="{00000000-0005-0000-0000-00001F060000}"/>
    <cellStyle name="Millares 2 4 2 2 4" xfId="2099" xr:uid="{00000000-0005-0000-0000-000020060000}"/>
    <cellStyle name="Millares 2 4 2 3" xfId="1121" xr:uid="{00000000-0005-0000-0000-000021060000}"/>
    <cellStyle name="Millares 2 4 2 3 2" xfId="1625" xr:uid="{00000000-0005-0000-0000-000022060000}"/>
    <cellStyle name="Millares 2 4 2 3 2 2" xfId="2398" xr:uid="{00000000-0005-0000-0000-000023060000}"/>
    <cellStyle name="Millares 2 4 2 3 3" xfId="1924" xr:uid="{00000000-0005-0000-0000-000024060000}"/>
    <cellStyle name="Millares 2 4 2 4" xfId="1550" xr:uid="{00000000-0005-0000-0000-000025060000}"/>
    <cellStyle name="Millares 2 4 2 4 2" xfId="2324" xr:uid="{00000000-0005-0000-0000-000026060000}"/>
    <cellStyle name="Millares 2 4 2 5" xfId="1423" xr:uid="{00000000-0005-0000-0000-000027060000}"/>
    <cellStyle name="Millares 2 4 2 5 2" xfId="2198" xr:uid="{00000000-0005-0000-0000-000028060000}"/>
    <cellStyle name="Millares 2 4 2 6" xfId="1772" xr:uid="{00000000-0005-0000-0000-000029060000}"/>
    <cellStyle name="Millares 2 4 3" xfId="1222" xr:uid="{00000000-0005-0000-0000-00002A060000}"/>
    <cellStyle name="Millares 2 4 3 2" xfId="1672" xr:uid="{00000000-0005-0000-0000-00002B060000}"/>
    <cellStyle name="Millares 2 4 3 2 2" xfId="2445" xr:uid="{00000000-0005-0000-0000-00002C060000}"/>
    <cellStyle name="Millares 2 4 3 3" xfId="1470" xr:uid="{00000000-0005-0000-0000-00002D060000}"/>
    <cellStyle name="Millares 2 4 3 3 2" xfId="2245" xr:uid="{00000000-0005-0000-0000-00002E060000}"/>
    <cellStyle name="Millares 2 4 3 4" xfId="2025" xr:uid="{00000000-0005-0000-0000-00002F060000}"/>
    <cellStyle name="Millares 2 4 4" xfId="1035" xr:uid="{00000000-0005-0000-0000-000030060000}"/>
    <cellStyle name="Millares 2 4 4 2" xfId="1595" xr:uid="{00000000-0005-0000-0000-000031060000}"/>
    <cellStyle name="Millares 2 4 4 2 2" xfId="2368" xr:uid="{00000000-0005-0000-0000-000032060000}"/>
    <cellStyle name="Millares 2 4 4 3" xfId="1850" xr:uid="{00000000-0005-0000-0000-000033060000}"/>
    <cellStyle name="Millares 2 4 5" xfId="1522" xr:uid="{00000000-0005-0000-0000-000034060000}"/>
    <cellStyle name="Millares 2 4 5 2" xfId="2296" xr:uid="{00000000-0005-0000-0000-000035060000}"/>
    <cellStyle name="Millares 2 4 6" xfId="1393" xr:uid="{00000000-0005-0000-0000-000036060000}"/>
    <cellStyle name="Millares 2 4 6 2" xfId="2168" xr:uid="{00000000-0005-0000-0000-000037060000}"/>
    <cellStyle name="Millares 2 4 7" xfId="1738" xr:uid="{00000000-0005-0000-0000-000038060000}"/>
    <cellStyle name="Millares 2 5" xfId="845" xr:uid="{00000000-0005-0000-0000-000039060000}"/>
    <cellStyle name="Millares 2 5 2" xfId="1136" xr:uid="{00000000-0005-0000-0000-00003A060000}"/>
    <cellStyle name="Millares 2 5 2 2" xfId="1311" xr:uid="{00000000-0005-0000-0000-00003B060000}"/>
    <cellStyle name="Millares 2 5 2 2 2" xfId="1707" xr:uid="{00000000-0005-0000-0000-00003C060000}"/>
    <cellStyle name="Millares 2 5 2 2 2 2" xfId="2480" xr:uid="{00000000-0005-0000-0000-00003D060000}"/>
    <cellStyle name="Millares 2 5 2 2 3" xfId="1505" xr:uid="{00000000-0005-0000-0000-00003E060000}"/>
    <cellStyle name="Millares 2 5 2 2 3 2" xfId="2280" xr:uid="{00000000-0005-0000-0000-00003F060000}"/>
    <cellStyle name="Millares 2 5 2 2 4" xfId="2114" xr:uid="{00000000-0005-0000-0000-000040060000}"/>
    <cellStyle name="Millares 2 5 2 3" xfId="1630" xr:uid="{00000000-0005-0000-0000-000041060000}"/>
    <cellStyle name="Millares 2 5 2 3 2" xfId="2403" xr:uid="{00000000-0005-0000-0000-000042060000}"/>
    <cellStyle name="Millares 2 5 2 4" xfId="1428" xr:uid="{00000000-0005-0000-0000-000043060000}"/>
    <cellStyle name="Millares 2 5 2 4 2" xfId="2203" xr:uid="{00000000-0005-0000-0000-000044060000}"/>
    <cellStyle name="Millares 2 5 2 5" xfId="1939" xr:uid="{00000000-0005-0000-0000-000045060000}"/>
    <cellStyle name="Millares 2 5 3" xfId="1237" xr:uid="{00000000-0005-0000-0000-000046060000}"/>
    <cellStyle name="Millares 2 5 3 2" xfId="1677" xr:uid="{00000000-0005-0000-0000-000047060000}"/>
    <cellStyle name="Millares 2 5 3 2 2" xfId="2450" xr:uid="{00000000-0005-0000-0000-000048060000}"/>
    <cellStyle name="Millares 2 5 3 3" xfId="1475" xr:uid="{00000000-0005-0000-0000-000049060000}"/>
    <cellStyle name="Millares 2 5 3 3 2" xfId="2250" xr:uid="{00000000-0005-0000-0000-00004A060000}"/>
    <cellStyle name="Millares 2 5 3 4" xfId="2040" xr:uid="{00000000-0005-0000-0000-00004B060000}"/>
    <cellStyle name="Millares 2 5 4" xfId="1052" xr:uid="{00000000-0005-0000-0000-00004C060000}"/>
    <cellStyle name="Millares 2 5 4 2" xfId="1600" xr:uid="{00000000-0005-0000-0000-00004D060000}"/>
    <cellStyle name="Millares 2 5 4 2 2" xfId="2373" xr:uid="{00000000-0005-0000-0000-00004E060000}"/>
    <cellStyle name="Millares 2 5 4 3" xfId="1865" xr:uid="{00000000-0005-0000-0000-00004F060000}"/>
    <cellStyle name="Millares 2 5 5" xfId="1536" xr:uid="{00000000-0005-0000-0000-000050060000}"/>
    <cellStyle name="Millares 2 5 5 2" xfId="2310" xr:uid="{00000000-0005-0000-0000-000051060000}"/>
    <cellStyle name="Millares 2 5 6" xfId="1398" xr:uid="{00000000-0005-0000-0000-000052060000}"/>
    <cellStyle name="Millares 2 5 6 2" xfId="2173" xr:uid="{00000000-0005-0000-0000-000053060000}"/>
    <cellStyle name="Millares 2 5 7" xfId="1755" xr:uid="{00000000-0005-0000-0000-000054060000}"/>
    <cellStyle name="Millares 2 6" xfId="1010" xr:uid="{00000000-0005-0000-0000-000055060000}"/>
    <cellStyle name="Millares 2 6 2" xfId="1104" xr:uid="{00000000-0005-0000-0000-000056060000}"/>
    <cellStyle name="Millares 2 6 2 2" xfId="1279" xr:uid="{00000000-0005-0000-0000-000057060000}"/>
    <cellStyle name="Millares 2 6 2 2 2" xfId="1698" xr:uid="{00000000-0005-0000-0000-000058060000}"/>
    <cellStyle name="Millares 2 6 2 2 2 2" xfId="2471" xr:uid="{00000000-0005-0000-0000-000059060000}"/>
    <cellStyle name="Millares 2 6 2 2 3" xfId="1496" xr:uid="{00000000-0005-0000-0000-00005A060000}"/>
    <cellStyle name="Millares 2 6 2 2 3 2" xfId="2271" xr:uid="{00000000-0005-0000-0000-00005B060000}"/>
    <cellStyle name="Millares 2 6 2 2 4" xfId="2082" xr:uid="{00000000-0005-0000-0000-00005C060000}"/>
    <cellStyle name="Millares 2 6 2 3" xfId="1621" xr:uid="{00000000-0005-0000-0000-00005D060000}"/>
    <cellStyle name="Millares 2 6 2 3 2" xfId="2394" xr:uid="{00000000-0005-0000-0000-00005E060000}"/>
    <cellStyle name="Millares 2 6 2 4" xfId="1419" xr:uid="{00000000-0005-0000-0000-00005F060000}"/>
    <cellStyle name="Millares 2 6 2 4 2" xfId="2194" xr:uid="{00000000-0005-0000-0000-000060060000}"/>
    <cellStyle name="Millares 2 6 2 5" xfId="1907" xr:uid="{00000000-0005-0000-0000-000061060000}"/>
    <cellStyle name="Millares 2 6 3" xfId="1205" xr:uid="{00000000-0005-0000-0000-000062060000}"/>
    <cellStyle name="Millares 2 6 3 2" xfId="1668" xr:uid="{00000000-0005-0000-0000-000063060000}"/>
    <cellStyle name="Millares 2 6 3 2 2" xfId="2441" xr:uid="{00000000-0005-0000-0000-000064060000}"/>
    <cellStyle name="Millares 2 6 3 3" xfId="1466" xr:uid="{00000000-0005-0000-0000-000065060000}"/>
    <cellStyle name="Millares 2 6 3 3 2" xfId="2241" xr:uid="{00000000-0005-0000-0000-000066060000}"/>
    <cellStyle name="Millares 2 6 3 4" xfId="2008" xr:uid="{00000000-0005-0000-0000-000067060000}"/>
    <cellStyle name="Millares 2 6 4" xfId="1591" xr:uid="{00000000-0005-0000-0000-000068060000}"/>
    <cellStyle name="Millares 2 6 4 2" xfId="2364" xr:uid="{00000000-0005-0000-0000-000069060000}"/>
    <cellStyle name="Millares 2 6 5" xfId="1389" xr:uid="{00000000-0005-0000-0000-00006A060000}"/>
    <cellStyle name="Millares 2 6 5 2" xfId="2164" xr:uid="{00000000-0005-0000-0000-00006B060000}"/>
    <cellStyle name="Millares 2 6 6" xfId="1833" xr:uid="{00000000-0005-0000-0000-00006C060000}"/>
    <cellStyle name="Millares 2 7" xfId="2504" xr:uid="{00000000-0005-0000-0000-00006D060000}"/>
    <cellStyle name="Millares 3" xfId="871" xr:uid="{00000000-0005-0000-0000-00006E060000}"/>
    <cellStyle name="Millares 3 2" xfId="1031" xr:uid="{00000000-0005-0000-0000-00006F060000}"/>
    <cellStyle name="Millares 3 2 2" xfId="1117" xr:uid="{00000000-0005-0000-0000-000070060000}"/>
    <cellStyle name="Millares 3 2 2 2" xfId="1292" xr:uid="{00000000-0005-0000-0000-000071060000}"/>
    <cellStyle name="Millares 3 2 2 2 2" xfId="1701" xr:uid="{00000000-0005-0000-0000-000072060000}"/>
    <cellStyle name="Millares 3 2 2 2 2 2" xfId="2474" xr:uid="{00000000-0005-0000-0000-000073060000}"/>
    <cellStyle name="Millares 3 2 2 2 3" xfId="1499" xr:uid="{00000000-0005-0000-0000-000074060000}"/>
    <cellStyle name="Millares 3 2 2 2 3 2" xfId="2274" xr:uid="{00000000-0005-0000-0000-000075060000}"/>
    <cellStyle name="Millares 3 2 2 2 4" xfId="2095" xr:uid="{00000000-0005-0000-0000-000076060000}"/>
    <cellStyle name="Millares 3 2 2 3" xfId="1624" xr:uid="{00000000-0005-0000-0000-000077060000}"/>
    <cellStyle name="Millares 3 2 2 3 2" xfId="2397" xr:uid="{00000000-0005-0000-0000-000078060000}"/>
    <cellStyle name="Millares 3 2 2 4" xfId="1422" xr:uid="{00000000-0005-0000-0000-000079060000}"/>
    <cellStyle name="Millares 3 2 2 4 2" xfId="2197" xr:uid="{00000000-0005-0000-0000-00007A060000}"/>
    <cellStyle name="Millares 3 2 2 5" xfId="1920" xr:uid="{00000000-0005-0000-0000-00007B060000}"/>
    <cellStyle name="Millares 3 2 3" xfId="1218" xr:uid="{00000000-0005-0000-0000-00007C060000}"/>
    <cellStyle name="Millares 3 2 3 2" xfId="1671" xr:uid="{00000000-0005-0000-0000-00007D060000}"/>
    <cellStyle name="Millares 3 2 3 2 2" xfId="2444" xr:uid="{00000000-0005-0000-0000-00007E060000}"/>
    <cellStyle name="Millares 3 2 3 3" xfId="1469" xr:uid="{00000000-0005-0000-0000-00007F060000}"/>
    <cellStyle name="Millares 3 2 3 3 2" xfId="2244" xr:uid="{00000000-0005-0000-0000-000080060000}"/>
    <cellStyle name="Millares 3 2 3 4" xfId="2021" xr:uid="{00000000-0005-0000-0000-000081060000}"/>
    <cellStyle name="Millares 3 2 4" xfId="1348" xr:uid="{00000000-0005-0000-0000-000082060000}"/>
    <cellStyle name="Millares 3 2 4 2" xfId="1713" xr:uid="{00000000-0005-0000-0000-000083060000}"/>
    <cellStyle name="Millares 3 2 4 2 2" xfId="2483" xr:uid="{00000000-0005-0000-0000-000084060000}"/>
    <cellStyle name="Millares 3 2 4 3" xfId="1508" xr:uid="{00000000-0005-0000-0000-000085060000}"/>
    <cellStyle name="Millares 3 2 4 3 2" xfId="2283" xr:uid="{00000000-0005-0000-0000-000086060000}"/>
    <cellStyle name="Millares 3 2 4 4" xfId="2125" xr:uid="{00000000-0005-0000-0000-000087060000}"/>
    <cellStyle name="Millares 3 2 5" xfId="1594" xr:uid="{00000000-0005-0000-0000-000088060000}"/>
    <cellStyle name="Millares 3 2 5 2" xfId="2367" xr:uid="{00000000-0005-0000-0000-000089060000}"/>
    <cellStyle name="Millares 3 2 6" xfId="1392" xr:uid="{00000000-0005-0000-0000-00008A060000}"/>
    <cellStyle name="Millares 3 2 6 2" xfId="2167" xr:uid="{00000000-0005-0000-0000-00008B060000}"/>
    <cellStyle name="Millares 3 2 7" xfId="1846" xr:uid="{00000000-0005-0000-0000-00008C060000}"/>
    <cellStyle name="Millares 3 3" xfId="1001" xr:uid="{00000000-0005-0000-0000-00008D060000}"/>
    <cellStyle name="Millares 3 3 2" xfId="1100" xr:uid="{00000000-0005-0000-0000-00008E060000}"/>
    <cellStyle name="Millares 3 3 2 2" xfId="1275" xr:uid="{00000000-0005-0000-0000-00008F060000}"/>
    <cellStyle name="Millares 3 3 2 2 2" xfId="1697" xr:uid="{00000000-0005-0000-0000-000090060000}"/>
    <cellStyle name="Millares 3 3 2 2 2 2" xfId="2470" xr:uid="{00000000-0005-0000-0000-000091060000}"/>
    <cellStyle name="Millares 3 3 2 2 3" xfId="1495" xr:uid="{00000000-0005-0000-0000-000092060000}"/>
    <cellStyle name="Millares 3 3 2 2 3 2" xfId="2270" xr:uid="{00000000-0005-0000-0000-000093060000}"/>
    <cellStyle name="Millares 3 3 2 2 4" xfId="2078" xr:uid="{00000000-0005-0000-0000-000094060000}"/>
    <cellStyle name="Millares 3 3 2 3" xfId="1620" xr:uid="{00000000-0005-0000-0000-000095060000}"/>
    <cellStyle name="Millares 3 3 2 3 2" xfId="2393" xr:uid="{00000000-0005-0000-0000-000096060000}"/>
    <cellStyle name="Millares 3 3 2 4" xfId="1418" xr:uid="{00000000-0005-0000-0000-000097060000}"/>
    <cellStyle name="Millares 3 3 2 4 2" xfId="2193" xr:uid="{00000000-0005-0000-0000-000098060000}"/>
    <cellStyle name="Millares 3 3 2 5" xfId="1903" xr:uid="{00000000-0005-0000-0000-000099060000}"/>
    <cellStyle name="Millares 3 3 3" xfId="1201" xr:uid="{00000000-0005-0000-0000-00009A060000}"/>
    <cellStyle name="Millares 3 3 3 2" xfId="1667" xr:uid="{00000000-0005-0000-0000-00009B060000}"/>
    <cellStyle name="Millares 3 3 3 2 2" xfId="2440" xr:uid="{00000000-0005-0000-0000-00009C060000}"/>
    <cellStyle name="Millares 3 3 3 3" xfId="1465" xr:uid="{00000000-0005-0000-0000-00009D060000}"/>
    <cellStyle name="Millares 3 3 3 3 2" xfId="2240" xr:uid="{00000000-0005-0000-0000-00009E060000}"/>
    <cellStyle name="Millares 3 3 3 4" xfId="2004" xr:uid="{00000000-0005-0000-0000-00009F060000}"/>
    <cellStyle name="Millares 3 3 4" xfId="1590" xr:uid="{00000000-0005-0000-0000-0000A0060000}"/>
    <cellStyle name="Millares 3 3 4 2" xfId="2363" xr:uid="{00000000-0005-0000-0000-0000A1060000}"/>
    <cellStyle name="Millares 3 3 5" xfId="1388" xr:uid="{00000000-0005-0000-0000-0000A2060000}"/>
    <cellStyle name="Millares 3 3 5 2" xfId="2163" xr:uid="{00000000-0005-0000-0000-0000A3060000}"/>
    <cellStyle name="Millares 3 3 6" xfId="1829" xr:uid="{00000000-0005-0000-0000-0000A4060000}"/>
    <cellStyle name="Millares 3 4" xfId="2507" xr:uid="{00000000-0005-0000-0000-0000A5060000}"/>
    <cellStyle name="Millares 4" xfId="924" xr:uid="{00000000-0005-0000-0000-0000A6060000}"/>
    <cellStyle name="Millares 4 10" xfId="1791" xr:uid="{00000000-0005-0000-0000-0000A7060000}"/>
    <cellStyle name="Millares 4 2" xfId="936" xr:uid="{00000000-0005-0000-0000-0000A8060000}"/>
    <cellStyle name="Millares 4 2 2" xfId="991" xr:uid="{00000000-0005-0000-0000-0000A9060000}"/>
    <cellStyle name="Millares 4 2 2 2" xfId="1196" xr:uid="{00000000-0005-0000-0000-0000AA060000}"/>
    <cellStyle name="Millares 4 2 2 2 2" xfId="1665" xr:uid="{00000000-0005-0000-0000-0000AB060000}"/>
    <cellStyle name="Millares 4 2 2 2 2 2" xfId="2438" xr:uid="{00000000-0005-0000-0000-0000AC060000}"/>
    <cellStyle name="Millares 4 2 2 2 3" xfId="1463" xr:uid="{00000000-0005-0000-0000-0000AD060000}"/>
    <cellStyle name="Millares 4 2 2 2 3 2" xfId="2238" xr:uid="{00000000-0005-0000-0000-0000AE060000}"/>
    <cellStyle name="Millares 4 2 2 2 4" xfId="1999" xr:uid="{00000000-0005-0000-0000-0000AF060000}"/>
    <cellStyle name="Millares 4 2 2 3" xfId="1588" xr:uid="{00000000-0005-0000-0000-0000B0060000}"/>
    <cellStyle name="Millares 4 2 2 3 2" xfId="2361" xr:uid="{00000000-0005-0000-0000-0000B1060000}"/>
    <cellStyle name="Millares 4 2 2 4" xfId="1386" xr:uid="{00000000-0005-0000-0000-0000B2060000}"/>
    <cellStyle name="Millares 4 2 2 4 2" xfId="2161" xr:uid="{00000000-0005-0000-0000-0000B3060000}"/>
    <cellStyle name="Millares 4 2 2 5" xfId="1824" xr:uid="{00000000-0005-0000-0000-0000B4060000}"/>
    <cellStyle name="Millares 4 2 3" xfId="1095" xr:uid="{00000000-0005-0000-0000-0000B5060000}"/>
    <cellStyle name="Millares 4 2 3 2" xfId="1270" xr:uid="{00000000-0005-0000-0000-0000B6060000}"/>
    <cellStyle name="Millares 4 2 3 2 2" xfId="1695" xr:uid="{00000000-0005-0000-0000-0000B7060000}"/>
    <cellStyle name="Millares 4 2 3 2 2 2" xfId="2468" xr:uid="{00000000-0005-0000-0000-0000B8060000}"/>
    <cellStyle name="Millares 4 2 3 2 3" xfId="1493" xr:uid="{00000000-0005-0000-0000-0000B9060000}"/>
    <cellStyle name="Millares 4 2 3 2 3 2" xfId="2268" xr:uid="{00000000-0005-0000-0000-0000BA060000}"/>
    <cellStyle name="Millares 4 2 3 2 4" xfId="2073" xr:uid="{00000000-0005-0000-0000-0000BB060000}"/>
    <cellStyle name="Millares 4 2 3 3" xfId="1618" xr:uid="{00000000-0005-0000-0000-0000BC060000}"/>
    <cellStyle name="Millares 4 2 3 3 2" xfId="2391" xr:uid="{00000000-0005-0000-0000-0000BD060000}"/>
    <cellStyle name="Millares 4 2 3 4" xfId="1416" xr:uid="{00000000-0005-0000-0000-0000BE060000}"/>
    <cellStyle name="Millares 4 2 3 4 2" xfId="2191" xr:uid="{00000000-0005-0000-0000-0000BF060000}"/>
    <cellStyle name="Millares 4 2 3 5" xfId="1898" xr:uid="{00000000-0005-0000-0000-0000C0060000}"/>
    <cellStyle name="Millares 4 2 4" xfId="1169" xr:uid="{00000000-0005-0000-0000-0000C1060000}"/>
    <cellStyle name="Millares 4 2 4 2" xfId="1648" xr:uid="{00000000-0005-0000-0000-0000C2060000}"/>
    <cellStyle name="Millares 4 2 4 2 2" xfId="2421" xr:uid="{00000000-0005-0000-0000-0000C3060000}"/>
    <cellStyle name="Millares 4 2 4 3" xfId="1446" xr:uid="{00000000-0005-0000-0000-0000C4060000}"/>
    <cellStyle name="Millares 4 2 4 3 2" xfId="2221" xr:uid="{00000000-0005-0000-0000-0000C5060000}"/>
    <cellStyle name="Millares 4 2 4 4" xfId="1972" xr:uid="{00000000-0005-0000-0000-0000C6060000}"/>
    <cellStyle name="Millares 4 2 5" xfId="1571" xr:uid="{00000000-0005-0000-0000-0000C7060000}"/>
    <cellStyle name="Millares 4 2 5 2" xfId="2344" xr:uid="{00000000-0005-0000-0000-0000C8060000}"/>
    <cellStyle name="Millares 4 2 6" xfId="1369" xr:uid="{00000000-0005-0000-0000-0000C9060000}"/>
    <cellStyle name="Millares 4 2 6 2" xfId="2144" xr:uid="{00000000-0005-0000-0000-0000CA060000}"/>
    <cellStyle name="Millares 4 2 7" xfId="1799" xr:uid="{00000000-0005-0000-0000-0000CB060000}"/>
    <cellStyle name="Millares 4 3" xfId="982" xr:uid="{00000000-0005-0000-0000-0000CC060000}"/>
    <cellStyle name="Millares 4 3 2" xfId="1187" xr:uid="{00000000-0005-0000-0000-0000CD060000}"/>
    <cellStyle name="Millares 4 3 2 2" xfId="1662" xr:uid="{00000000-0005-0000-0000-0000CE060000}"/>
    <cellStyle name="Millares 4 3 2 2 2" xfId="2435" xr:uid="{00000000-0005-0000-0000-0000CF060000}"/>
    <cellStyle name="Millares 4 3 2 3" xfId="1460" xr:uid="{00000000-0005-0000-0000-0000D0060000}"/>
    <cellStyle name="Millares 4 3 2 3 2" xfId="2235" xr:uid="{00000000-0005-0000-0000-0000D1060000}"/>
    <cellStyle name="Millares 4 3 2 4" xfId="1990" xr:uid="{00000000-0005-0000-0000-0000D2060000}"/>
    <cellStyle name="Millares 4 3 3" xfId="1585" xr:uid="{00000000-0005-0000-0000-0000D3060000}"/>
    <cellStyle name="Millares 4 3 3 2" xfId="2358" xr:uid="{00000000-0005-0000-0000-0000D4060000}"/>
    <cellStyle name="Millares 4 3 4" xfId="1383" xr:uid="{00000000-0005-0000-0000-0000D5060000}"/>
    <cellStyle name="Millares 4 3 4 2" xfId="2158" xr:uid="{00000000-0005-0000-0000-0000D6060000}"/>
    <cellStyle name="Millares 4 3 5" xfId="1815" xr:uid="{00000000-0005-0000-0000-0000D7060000}"/>
    <cellStyle name="Millares 4 4" xfId="1086" xr:uid="{00000000-0005-0000-0000-0000D8060000}"/>
    <cellStyle name="Millares 4 4 2" xfId="1261" xr:uid="{00000000-0005-0000-0000-0000D9060000}"/>
    <cellStyle name="Millares 4 4 2 2" xfId="1692" xr:uid="{00000000-0005-0000-0000-0000DA060000}"/>
    <cellStyle name="Millares 4 4 2 2 2" xfId="2465" xr:uid="{00000000-0005-0000-0000-0000DB060000}"/>
    <cellStyle name="Millares 4 4 2 3" xfId="1490" xr:uid="{00000000-0005-0000-0000-0000DC060000}"/>
    <cellStyle name="Millares 4 4 2 3 2" xfId="2265" xr:uid="{00000000-0005-0000-0000-0000DD060000}"/>
    <cellStyle name="Millares 4 4 2 4" xfId="2064" xr:uid="{00000000-0005-0000-0000-0000DE060000}"/>
    <cellStyle name="Millares 4 4 3" xfId="1615" xr:uid="{00000000-0005-0000-0000-0000DF060000}"/>
    <cellStyle name="Millares 4 4 3 2" xfId="2388" xr:uid="{00000000-0005-0000-0000-0000E0060000}"/>
    <cellStyle name="Millares 4 4 4" xfId="1413" xr:uid="{00000000-0005-0000-0000-0000E1060000}"/>
    <cellStyle name="Millares 4 4 4 2" xfId="2188" xr:uid="{00000000-0005-0000-0000-0000E2060000}"/>
    <cellStyle name="Millares 4 4 5" xfId="1889" xr:uid="{00000000-0005-0000-0000-0000E3060000}"/>
    <cellStyle name="Millares 4 5" xfId="1160" xr:uid="{00000000-0005-0000-0000-0000E4060000}"/>
    <cellStyle name="Millares 4 5 2" xfId="1645" xr:uid="{00000000-0005-0000-0000-0000E5060000}"/>
    <cellStyle name="Millares 4 5 2 2" xfId="2418" xr:uid="{00000000-0005-0000-0000-0000E6060000}"/>
    <cellStyle name="Millares 4 5 3" xfId="1443" xr:uid="{00000000-0005-0000-0000-0000E7060000}"/>
    <cellStyle name="Millares 4 5 3 2" xfId="2218" xr:uid="{00000000-0005-0000-0000-0000E8060000}"/>
    <cellStyle name="Millares 4 5 4" xfId="1963" xr:uid="{00000000-0005-0000-0000-0000E9060000}"/>
    <cellStyle name="Millares 4 6" xfId="1350" xr:uid="{00000000-0005-0000-0000-0000EA060000}"/>
    <cellStyle name="Millares 4 6 2" xfId="1714" xr:uid="{00000000-0005-0000-0000-0000EB060000}"/>
    <cellStyle name="Millares 4 6 2 2" xfId="2484" xr:uid="{00000000-0005-0000-0000-0000EC060000}"/>
    <cellStyle name="Millares 4 6 3" xfId="1509" xr:uid="{00000000-0005-0000-0000-0000ED060000}"/>
    <cellStyle name="Millares 4 6 3 2" xfId="2284" xr:uid="{00000000-0005-0000-0000-0000EE060000}"/>
    <cellStyle name="Millares 4 6 4" xfId="2126" xr:uid="{00000000-0005-0000-0000-0000EF060000}"/>
    <cellStyle name="Millares 4 7" xfId="1568" xr:uid="{00000000-0005-0000-0000-0000F0060000}"/>
    <cellStyle name="Millares 4 7 2" xfId="2341" xr:uid="{00000000-0005-0000-0000-0000F1060000}"/>
    <cellStyle name="Millares 4 8" xfId="1366" xr:uid="{00000000-0005-0000-0000-0000F2060000}"/>
    <cellStyle name="Millares 4 8 2" xfId="2141" xr:uid="{00000000-0005-0000-0000-0000F3060000}"/>
    <cellStyle name="Millares 4 9" xfId="2517" xr:uid="{00000000-0005-0000-0000-0000F4060000}"/>
    <cellStyle name="Millares 5" xfId="992" xr:uid="{00000000-0005-0000-0000-0000F5060000}"/>
    <cellStyle name="Millares 5 2" xfId="1096" xr:uid="{00000000-0005-0000-0000-0000F6060000}"/>
    <cellStyle name="Millares 5 2 2" xfId="1271" xr:uid="{00000000-0005-0000-0000-0000F7060000}"/>
    <cellStyle name="Millares 5 2 2 2" xfId="1696" xr:uid="{00000000-0005-0000-0000-0000F8060000}"/>
    <cellStyle name="Millares 5 2 2 2 2" xfId="2469" xr:uid="{00000000-0005-0000-0000-0000F9060000}"/>
    <cellStyle name="Millares 5 2 2 3" xfId="1494" xr:uid="{00000000-0005-0000-0000-0000FA060000}"/>
    <cellStyle name="Millares 5 2 2 3 2" xfId="2269" xr:uid="{00000000-0005-0000-0000-0000FB060000}"/>
    <cellStyle name="Millares 5 2 2 4" xfId="2074" xr:uid="{00000000-0005-0000-0000-0000FC060000}"/>
    <cellStyle name="Millares 5 2 3" xfId="1619" xr:uid="{00000000-0005-0000-0000-0000FD060000}"/>
    <cellStyle name="Millares 5 2 3 2" xfId="2392" xr:uid="{00000000-0005-0000-0000-0000FE060000}"/>
    <cellStyle name="Millares 5 2 4" xfId="1417" xr:uid="{00000000-0005-0000-0000-0000FF060000}"/>
    <cellStyle name="Millares 5 2 4 2" xfId="2192" xr:uid="{00000000-0005-0000-0000-000000070000}"/>
    <cellStyle name="Millares 5 2 5" xfId="1899" xr:uid="{00000000-0005-0000-0000-000001070000}"/>
    <cellStyle name="Millares 5 3" xfId="1197" xr:uid="{00000000-0005-0000-0000-000002070000}"/>
    <cellStyle name="Millares 5 3 2" xfId="1666" xr:uid="{00000000-0005-0000-0000-000003070000}"/>
    <cellStyle name="Millares 5 3 2 2" xfId="2439" xr:uid="{00000000-0005-0000-0000-000004070000}"/>
    <cellStyle name="Millares 5 3 3" xfId="1464" xr:uid="{00000000-0005-0000-0000-000005070000}"/>
    <cellStyle name="Millares 5 3 3 2" xfId="2239" xr:uid="{00000000-0005-0000-0000-000006070000}"/>
    <cellStyle name="Millares 5 3 4" xfId="2000" xr:uid="{00000000-0005-0000-0000-000007070000}"/>
    <cellStyle name="Millares 5 4" xfId="1589" xr:uid="{00000000-0005-0000-0000-000008070000}"/>
    <cellStyle name="Millares 5 4 2" xfId="2362" xr:uid="{00000000-0005-0000-0000-000009070000}"/>
    <cellStyle name="Millares 5 5" xfId="1387" xr:uid="{00000000-0005-0000-0000-00000A070000}"/>
    <cellStyle name="Millares 5 5 2" xfId="2162" xr:uid="{00000000-0005-0000-0000-00000B070000}"/>
    <cellStyle name="Millares 5 6" xfId="1825" xr:uid="{00000000-0005-0000-0000-00000C070000}"/>
    <cellStyle name="Millares 6" xfId="1319" xr:uid="{00000000-0005-0000-0000-00000D070000}"/>
    <cellStyle name="Millares 6 2" xfId="1710" xr:uid="{00000000-0005-0000-0000-00000E070000}"/>
    <cellStyle name="Millares 6 2 2" xfId="2482" xr:uid="{00000000-0005-0000-0000-00000F070000}"/>
    <cellStyle name="Millares 6 3" xfId="1507" xr:uid="{00000000-0005-0000-0000-000010070000}"/>
    <cellStyle name="Millares 6 3 2" xfId="2282" xr:uid="{00000000-0005-0000-0000-000011070000}"/>
    <cellStyle name="Millares 6 4" xfId="2121" xr:uid="{00000000-0005-0000-0000-000012070000}"/>
    <cellStyle name="Millares 7" xfId="2489" xr:uid="{00000000-0005-0000-0000-000013070000}"/>
    <cellStyle name="Millares 8" xfId="1047" xr:uid="{00000000-0005-0000-0000-000014070000}"/>
    <cellStyle name="Millares 8 2" xfId="1133" xr:uid="{00000000-0005-0000-0000-000015070000}"/>
    <cellStyle name="Millares 8 2 2" xfId="1308" xr:uid="{00000000-0005-0000-0000-000016070000}"/>
    <cellStyle name="Millares 8 2 2 2" xfId="1706" xr:uid="{00000000-0005-0000-0000-000017070000}"/>
    <cellStyle name="Millares 8 2 2 2 2" xfId="2479" xr:uid="{00000000-0005-0000-0000-000018070000}"/>
    <cellStyle name="Millares 8 2 2 3" xfId="1504" xr:uid="{00000000-0005-0000-0000-000019070000}"/>
    <cellStyle name="Millares 8 2 2 3 2" xfId="2279" xr:uid="{00000000-0005-0000-0000-00001A070000}"/>
    <cellStyle name="Millares 8 2 2 4" xfId="2111" xr:uid="{00000000-0005-0000-0000-00001B070000}"/>
    <cellStyle name="Millares 8 2 3" xfId="1629" xr:uid="{00000000-0005-0000-0000-00001C070000}"/>
    <cellStyle name="Millares 8 2 3 2" xfId="2402" xr:uid="{00000000-0005-0000-0000-00001D070000}"/>
    <cellStyle name="Millares 8 2 4" xfId="1427" xr:uid="{00000000-0005-0000-0000-00001E070000}"/>
    <cellStyle name="Millares 8 2 4 2" xfId="2202" xr:uid="{00000000-0005-0000-0000-00001F070000}"/>
    <cellStyle name="Millares 8 2 5" xfId="1936" xr:uid="{00000000-0005-0000-0000-000020070000}"/>
    <cellStyle name="Millares 8 3" xfId="1234" xr:uid="{00000000-0005-0000-0000-000021070000}"/>
    <cellStyle name="Millares 8 3 2" xfId="1676" xr:uid="{00000000-0005-0000-0000-000022070000}"/>
    <cellStyle name="Millares 8 3 2 2" xfId="2449" xr:uid="{00000000-0005-0000-0000-000023070000}"/>
    <cellStyle name="Millares 8 3 3" xfId="1474" xr:uid="{00000000-0005-0000-0000-000024070000}"/>
    <cellStyle name="Millares 8 3 3 2" xfId="2249" xr:uid="{00000000-0005-0000-0000-000025070000}"/>
    <cellStyle name="Millares 8 3 4" xfId="2037" xr:uid="{00000000-0005-0000-0000-000026070000}"/>
    <cellStyle name="Millares 8 4" xfId="1599" xr:uid="{00000000-0005-0000-0000-000027070000}"/>
    <cellStyle name="Millares 8 4 2" xfId="2372" xr:uid="{00000000-0005-0000-0000-000028070000}"/>
    <cellStyle name="Millares 8 5" xfId="1397" xr:uid="{00000000-0005-0000-0000-000029070000}"/>
    <cellStyle name="Millares 8 5 2" xfId="2172" xr:uid="{00000000-0005-0000-0000-00002A070000}"/>
    <cellStyle name="Millares 8 6" xfId="1862" xr:uid="{00000000-0005-0000-0000-00002B070000}"/>
    <cellStyle name="Milliers [0]_AR1194" xfId="730" xr:uid="{00000000-0005-0000-0000-00002C070000}"/>
    <cellStyle name="Milliers 2" xfId="731" xr:uid="{00000000-0005-0000-0000-00002D070000}"/>
    <cellStyle name="Milliers 2 2" xfId="830" xr:uid="{00000000-0005-0000-0000-00002E070000}"/>
    <cellStyle name="Milliers 2 2 2" xfId="864" xr:uid="{00000000-0005-0000-0000-00002F070000}"/>
    <cellStyle name="Milliers 2 2 2 2" xfId="1184" xr:uid="{00000000-0005-0000-0000-000030070000}"/>
    <cellStyle name="Milliers 2 2 2 2 2" xfId="1660" xr:uid="{00000000-0005-0000-0000-000031070000}"/>
    <cellStyle name="Milliers 2 2 2 2 2 2" xfId="2433" xr:uid="{00000000-0005-0000-0000-000032070000}"/>
    <cellStyle name="Milliers 2 2 2 2 3" xfId="1458" xr:uid="{00000000-0005-0000-0000-000033070000}"/>
    <cellStyle name="Milliers 2 2 2 2 3 2" xfId="2233" xr:uid="{00000000-0005-0000-0000-000034070000}"/>
    <cellStyle name="Milliers 2 2 2 2 4" xfId="1987" xr:uid="{00000000-0005-0000-0000-000035070000}"/>
    <cellStyle name="Milliers 2 2 2 3" xfId="980" xr:uid="{00000000-0005-0000-0000-000036070000}"/>
    <cellStyle name="Milliers 2 2 2 3 2" xfId="1583" xr:uid="{00000000-0005-0000-0000-000037070000}"/>
    <cellStyle name="Milliers 2 2 2 3 2 2" xfId="2356" xr:uid="{00000000-0005-0000-0000-000038070000}"/>
    <cellStyle name="Milliers 2 2 2 3 3" xfId="1813" xr:uid="{00000000-0005-0000-0000-000039070000}"/>
    <cellStyle name="Milliers 2 2 2 4" xfId="1552" xr:uid="{00000000-0005-0000-0000-00003A070000}"/>
    <cellStyle name="Milliers 2 2 2 4 2" xfId="2326" xr:uid="{00000000-0005-0000-0000-00003B070000}"/>
    <cellStyle name="Milliers 2 2 2 5" xfId="1381" xr:uid="{00000000-0005-0000-0000-00003C070000}"/>
    <cellStyle name="Milliers 2 2 2 5 2" xfId="2156" xr:uid="{00000000-0005-0000-0000-00003D070000}"/>
    <cellStyle name="Milliers 2 2 2 6" xfId="1774" xr:uid="{00000000-0005-0000-0000-00003E070000}"/>
    <cellStyle name="Milliers 2 2 3" xfId="1083" xr:uid="{00000000-0005-0000-0000-00003F070000}"/>
    <cellStyle name="Milliers 2 2 3 2" xfId="1258" xr:uid="{00000000-0005-0000-0000-000040070000}"/>
    <cellStyle name="Milliers 2 2 3 2 2" xfId="1690" xr:uid="{00000000-0005-0000-0000-000041070000}"/>
    <cellStyle name="Milliers 2 2 3 2 2 2" xfId="2463" xr:uid="{00000000-0005-0000-0000-000042070000}"/>
    <cellStyle name="Milliers 2 2 3 2 3" xfId="1488" xr:uid="{00000000-0005-0000-0000-000043070000}"/>
    <cellStyle name="Milliers 2 2 3 2 3 2" xfId="2263" xr:uid="{00000000-0005-0000-0000-000044070000}"/>
    <cellStyle name="Milliers 2 2 3 2 4" xfId="2061" xr:uid="{00000000-0005-0000-0000-000045070000}"/>
    <cellStyle name="Milliers 2 2 3 3" xfId="1613" xr:uid="{00000000-0005-0000-0000-000046070000}"/>
    <cellStyle name="Milliers 2 2 3 3 2" xfId="2386" xr:uid="{00000000-0005-0000-0000-000047070000}"/>
    <cellStyle name="Milliers 2 2 3 4" xfId="1411" xr:uid="{00000000-0005-0000-0000-000048070000}"/>
    <cellStyle name="Milliers 2 2 3 4 2" xfId="2186" xr:uid="{00000000-0005-0000-0000-000049070000}"/>
    <cellStyle name="Milliers 2 2 3 5" xfId="1886" xr:uid="{00000000-0005-0000-0000-00004A070000}"/>
    <cellStyle name="Milliers 2 2 4" xfId="1157" xr:uid="{00000000-0005-0000-0000-00004B070000}"/>
    <cellStyle name="Milliers 2 2 4 2" xfId="1643" xr:uid="{00000000-0005-0000-0000-00004C070000}"/>
    <cellStyle name="Milliers 2 2 4 2 2" xfId="2416" xr:uid="{00000000-0005-0000-0000-00004D070000}"/>
    <cellStyle name="Milliers 2 2 4 3" xfId="1441" xr:uid="{00000000-0005-0000-0000-00004E070000}"/>
    <cellStyle name="Milliers 2 2 4 3 2" xfId="2216" xr:uid="{00000000-0005-0000-0000-00004F070000}"/>
    <cellStyle name="Milliers 2 2 4 4" xfId="1960" xr:uid="{00000000-0005-0000-0000-000050070000}"/>
    <cellStyle name="Milliers 2 2 5" xfId="922" xr:uid="{00000000-0005-0000-0000-000051070000}"/>
    <cellStyle name="Milliers 2 2 5 2" xfId="1566" xr:uid="{00000000-0005-0000-0000-000052070000}"/>
    <cellStyle name="Milliers 2 2 5 2 2" xfId="2339" xr:uid="{00000000-0005-0000-0000-000053070000}"/>
    <cellStyle name="Milliers 2 2 5 3" xfId="1789" xr:uid="{00000000-0005-0000-0000-000054070000}"/>
    <cellStyle name="Milliers 2 2 6" xfId="1524" xr:uid="{00000000-0005-0000-0000-000055070000}"/>
    <cellStyle name="Milliers 2 2 6 2" xfId="2298" xr:uid="{00000000-0005-0000-0000-000056070000}"/>
    <cellStyle name="Milliers 2 2 7" xfId="1364" xr:uid="{00000000-0005-0000-0000-000057070000}"/>
    <cellStyle name="Milliers 2 2 7 2" xfId="2139" xr:uid="{00000000-0005-0000-0000-000058070000}"/>
    <cellStyle name="Milliers 2 2 8" xfId="1740" xr:uid="{00000000-0005-0000-0000-000059070000}"/>
    <cellStyle name="Milliers 2 3" xfId="847" xr:uid="{00000000-0005-0000-0000-00005A070000}"/>
    <cellStyle name="Milliers 2 3 2" xfId="1538" xr:uid="{00000000-0005-0000-0000-00005B070000}"/>
    <cellStyle name="Milliers 2 3 2 2" xfId="2312" xr:uid="{00000000-0005-0000-0000-00005C070000}"/>
    <cellStyle name="Milliers 2 3 3" xfId="1757" xr:uid="{00000000-0005-0000-0000-00005D070000}"/>
    <cellStyle name="Milliers_AR1194" xfId="732" xr:uid="{00000000-0005-0000-0000-00005E070000}"/>
    <cellStyle name="Mon?aire [0]_AR1194e" xfId="733" xr:uid="{00000000-0005-0000-0000-00005F070000}"/>
    <cellStyle name="Mon?aire_AR1194M" xfId="734" xr:uid="{00000000-0005-0000-0000-000060070000}"/>
    <cellStyle name="Moneda 10" xfId="815" xr:uid="{00000000-0005-0000-0000-000078070000}"/>
    <cellStyle name="Moneda 11 2" xfId="1022" xr:uid="{00000000-0005-0000-0000-000062070000}"/>
    <cellStyle name="Moneda 11 2 2" xfId="1042" xr:uid="{00000000-0005-0000-0000-000063070000}"/>
    <cellStyle name="Moneda 11 2 2 2" xfId="1128" xr:uid="{00000000-0005-0000-0000-000064070000}"/>
    <cellStyle name="Moneda 11 2 2 2 2" xfId="1303" xr:uid="{00000000-0005-0000-0000-000065070000}"/>
    <cellStyle name="Moneda 11 2 2 2 2 2" xfId="2106" xr:uid="{00000000-0005-0000-0000-000066070000}"/>
    <cellStyle name="Moneda 11 2 2 2 3" xfId="1931" xr:uid="{00000000-0005-0000-0000-000067070000}"/>
    <cellStyle name="Moneda 11 2 2 3" xfId="1229" xr:uid="{00000000-0005-0000-0000-000068070000}"/>
    <cellStyle name="Moneda 11 2 2 3 2" xfId="2032" xr:uid="{00000000-0005-0000-0000-000069070000}"/>
    <cellStyle name="Moneda 11 2 2 4" xfId="1857" xr:uid="{00000000-0005-0000-0000-00006A070000}"/>
    <cellStyle name="Moneda 11 2 3" xfId="1111" xr:uid="{00000000-0005-0000-0000-00006B070000}"/>
    <cellStyle name="Moneda 11 2 3 2" xfId="1286" xr:uid="{00000000-0005-0000-0000-00006C070000}"/>
    <cellStyle name="Moneda 11 2 3 2 2" xfId="2089" xr:uid="{00000000-0005-0000-0000-00006D070000}"/>
    <cellStyle name="Moneda 11 2 3 3" xfId="1914" xr:uid="{00000000-0005-0000-0000-00006E070000}"/>
    <cellStyle name="Moneda 11 2 4" xfId="1212" xr:uid="{00000000-0005-0000-0000-00006F070000}"/>
    <cellStyle name="Moneda 11 2 4 2" xfId="2015" xr:uid="{00000000-0005-0000-0000-000070070000}"/>
    <cellStyle name="Moneda 11 2 5" xfId="1840" xr:uid="{00000000-0005-0000-0000-000071070000}"/>
    <cellStyle name="Moneda 15 3 2 2" xfId="997" xr:uid="{00000000-0005-0000-0000-000072070000}"/>
    <cellStyle name="Moneda 15 3 2 2 2" xfId="1029" xr:uid="{00000000-0005-0000-0000-000073070000}"/>
    <cellStyle name="Moneda 15 3 2 2 2 2" xfId="1115" xr:uid="{00000000-0005-0000-0000-000074070000}"/>
    <cellStyle name="Moneda 15 3 2 2 2 2 2" xfId="1290" xr:uid="{00000000-0005-0000-0000-000075070000}"/>
    <cellStyle name="Moneda 15 3 2 2 2 2 2 2" xfId="2093" xr:uid="{00000000-0005-0000-0000-000076070000}"/>
    <cellStyle name="Moneda 15 3 2 2 2 2 3" xfId="1918" xr:uid="{00000000-0005-0000-0000-000077070000}"/>
    <cellStyle name="Moneda 15 3 2 2 2 3" xfId="1216" xr:uid="{00000000-0005-0000-0000-000078070000}"/>
    <cellStyle name="Moneda 15 3 2 2 2 3 2" xfId="2019" xr:uid="{00000000-0005-0000-0000-000079070000}"/>
    <cellStyle name="Moneda 15 3 2 2 2 4" xfId="1844" xr:uid="{00000000-0005-0000-0000-00007A070000}"/>
    <cellStyle name="Moneda 15 3 2 2 3" xfId="1098" xr:uid="{00000000-0005-0000-0000-00007B070000}"/>
    <cellStyle name="Moneda 15 3 2 2 3 2" xfId="1273" xr:uid="{00000000-0005-0000-0000-00007C070000}"/>
    <cellStyle name="Moneda 15 3 2 2 3 2 2" xfId="2076" xr:uid="{00000000-0005-0000-0000-00007D070000}"/>
    <cellStyle name="Moneda 15 3 2 2 3 3" xfId="1901" xr:uid="{00000000-0005-0000-0000-00007E070000}"/>
    <cellStyle name="Moneda 15 3 2 2 4" xfId="1199" xr:uid="{00000000-0005-0000-0000-00007F070000}"/>
    <cellStyle name="Moneda 15 3 2 2 4 2" xfId="2002" xr:uid="{00000000-0005-0000-0000-000080070000}"/>
    <cellStyle name="Moneda 15 3 2 2 5" xfId="1827" xr:uid="{00000000-0005-0000-0000-000081070000}"/>
    <cellStyle name="Moneda 2" xfId="910" xr:uid="{00000000-0005-0000-0000-000082070000}"/>
    <cellStyle name="Moneda 2 10" xfId="1143" xr:uid="{00000000-0005-0000-0000-000083070000}"/>
    <cellStyle name="Moneda 2 10 2" xfId="1946" xr:uid="{00000000-0005-0000-0000-000084070000}"/>
    <cellStyle name="Moneda 2 11" xfId="2505" xr:uid="{00000000-0005-0000-0000-000085070000}"/>
    <cellStyle name="Moneda 2 12" xfId="1777" xr:uid="{00000000-0005-0000-0000-000086070000}"/>
    <cellStyle name="Moneda 2 2" xfId="925" xr:uid="{00000000-0005-0000-0000-000087070000}"/>
    <cellStyle name="Moneda 2 2 2" xfId="932" xr:uid="{00000000-0005-0000-0000-000088070000}"/>
    <cellStyle name="Moneda 2 2 2 2" xfId="1032" xr:uid="{00000000-0005-0000-0000-000089070000}"/>
    <cellStyle name="Moneda 2 2 2 2 2" xfId="1118" xr:uid="{00000000-0005-0000-0000-00008A070000}"/>
    <cellStyle name="Moneda 2 2 2 2 2 2" xfId="1293" xr:uid="{00000000-0005-0000-0000-00008B070000}"/>
    <cellStyle name="Moneda 2 2 2 2 2 2 2" xfId="2096" xr:uid="{00000000-0005-0000-0000-00008C070000}"/>
    <cellStyle name="Moneda 2 2 2 2 2 3" xfId="1921" xr:uid="{00000000-0005-0000-0000-00008D070000}"/>
    <cellStyle name="Moneda 2 2 2 2 3" xfId="1219" xr:uid="{00000000-0005-0000-0000-00008E070000}"/>
    <cellStyle name="Moneda 2 2 2 2 3 2" xfId="2022" xr:uid="{00000000-0005-0000-0000-00008F070000}"/>
    <cellStyle name="Moneda 2 2 2 2 4" xfId="1847" xr:uid="{00000000-0005-0000-0000-000090070000}"/>
    <cellStyle name="Moneda 2 2 2 3" xfId="988" xr:uid="{00000000-0005-0000-0000-000091070000}"/>
    <cellStyle name="Moneda 2 2 2 3 2" xfId="1193" xr:uid="{00000000-0005-0000-0000-000092070000}"/>
    <cellStyle name="Moneda 2 2 2 3 2 2" xfId="1996" xr:uid="{00000000-0005-0000-0000-000093070000}"/>
    <cellStyle name="Moneda 2 2 2 3 3" xfId="1821" xr:uid="{00000000-0005-0000-0000-000094070000}"/>
    <cellStyle name="Moneda 2 2 2 4" xfId="1092" xr:uid="{00000000-0005-0000-0000-000095070000}"/>
    <cellStyle name="Moneda 2 2 2 4 2" xfId="1267" xr:uid="{00000000-0005-0000-0000-000096070000}"/>
    <cellStyle name="Moneda 2 2 2 4 2 2" xfId="2070" xr:uid="{00000000-0005-0000-0000-000097070000}"/>
    <cellStyle name="Moneda 2 2 2 4 3" xfId="1895" xr:uid="{00000000-0005-0000-0000-000098070000}"/>
    <cellStyle name="Moneda 2 2 2 5" xfId="1166" xr:uid="{00000000-0005-0000-0000-000099070000}"/>
    <cellStyle name="Moneda 2 2 2 5 2" xfId="1969" xr:uid="{00000000-0005-0000-0000-00009A070000}"/>
    <cellStyle name="Moneda 2 2 2 6" xfId="1796" xr:uid="{00000000-0005-0000-0000-00009B070000}"/>
    <cellStyle name="Moneda 2 2 3" xfId="1056" xr:uid="{00000000-0005-0000-0000-00009C070000}"/>
    <cellStyle name="Moneda 2 2 3 2" xfId="1138" xr:uid="{00000000-0005-0000-0000-00009D070000}"/>
    <cellStyle name="Moneda 2 2 3 2 2" xfId="1313" xr:uid="{00000000-0005-0000-0000-00009E070000}"/>
    <cellStyle name="Moneda 2 2 3 2 2 2" xfId="2116" xr:uid="{00000000-0005-0000-0000-00009F070000}"/>
    <cellStyle name="Moneda 2 2 3 2 3" xfId="1941" xr:uid="{00000000-0005-0000-0000-0000A0070000}"/>
    <cellStyle name="Moneda 2 2 3 3" xfId="1239" xr:uid="{00000000-0005-0000-0000-0000A1070000}"/>
    <cellStyle name="Moneda 2 2 3 3 2" xfId="2042" xr:uid="{00000000-0005-0000-0000-0000A2070000}"/>
    <cellStyle name="Moneda 2 2 3 4" xfId="1867" xr:uid="{00000000-0005-0000-0000-0000A3070000}"/>
    <cellStyle name="Moneda 2 2 4" xfId="1013" xr:uid="{00000000-0005-0000-0000-0000A4070000}"/>
    <cellStyle name="Moneda 2 2 4 2" xfId="1037" xr:uid="{00000000-0005-0000-0000-0000A5070000}"/>
    <cellStyle name="Moneda 2 2 4 2 2" xfId="1123" xr:uid="{00000000-0005-0000-0000-0000A6070000}"/>
    <cellStyle name="Moneda 2 2 4 2 2 2" xfId="1298" xr:uid="{00000000-0005-0000-0000-0000A7070000}"/>
    <cellStyle name="Moneda 2 2 4 2 2 2 2" xfId="2101" xr:uid="{00000000-0005-0000-0000-0000A8070000}"/>
    <cellStyle name="Moneda 2 2 4 2 2 3" xfId="1926" xr:uid="{00000000-0005-0000-0000-0000A9070000}"/>
    <cellStyle name="Moneda 2 2 4 2 3" xfId="1224" xr:uid="{00000000-0005-0000-0000-0000AA070000}"/>
    <cellStyle name="Moneda 2 2 4 2 3 2" xfId="2027" xr:uid="{00000000-0005-0000-0000-0000AB070000}"/>
    <cellStyle name="Moneda 2 2 4 2 4" xfId="1852" xr:uid="{00000000-0005-0000-0000-0000AC070000}"/>
    <cellStyle name="Moneda 2 2 4 3" xfId="1106" xr:uid="{00000000-0005-0000-0000-0000AD070000}"/>
    <cellStyle name="Moneda 2 2 4 3 2" xfId="1281" xr:uid="{00000000-0005-0000-0000-0000AE070000}"/>
    <cellStyle name="Moneda 2 2 4 3 2 2" xfId="2084" xr:uid="{00000000-0005-0000-0000-0000AF070000}"/>
    <cellStyle name="Moneda 2 2 4 3 3" xfId="1909" xr:uid="{00000000-0005-0000-0000-0000B0070000}"/>
    <cellStyle name="Moneda 2 2 4 4" xfId="1207" xr:uid="{00000000-0005-0000-0000-0000B1070000}"/>
    <cellStyle name="Moneda 2 2 4 4 2" xfId="2010" xr:uid="{00000000-0005-0000-0000-0000B2070000}"/>
    <cellStyle name="Moneda 2 2 4 5" xfId="1835" xr:uid="{00000000-0005-0000-0000-0000B3070000}"/>
    <cellStyle name="Moneda 2 2 5" xfId="1003" xr:uid="{00000000-0005-0000-0000-0000B4070000}"/>
    <cellStyle name="Moneda 2 2 5 2" xfId="1101" xr:uid="{00000000-0005-0000-0000-0000B5070000}"/>
    <cellStyle name="Moneda 2 2 5 2 2" xfId="1276" xr:uid="{00000000-0005-0000-0000-0000B6070000}"/>
    <cellStyle name="Moneda 2 2 5 2 2 2" xfId="2079" xr:uid="{00000000-0005-0000-0000-0000B7070000}"/>
    <cellStyle name="Moneda 2 2 5 2 3" xfId="1904" xr:uid="{00000000-0005-0000-0000-0000B8070000}"/>
    <cellStyle name="Moneda 2 2 5 3" xfId="1202" xr:uid="{00000000-0005-0000-0000-0000B9070000}"/>
    <cellStyle name="Moneda 2 2 5 3 2" xfId="2005" xr:uid="{00000000-0005-0000-0000-0000BA070000}"/>
    <cellStyle name="Moneda 2 2 5 4" xfId="1830" xr:uid="{00000000-0005-0000-0000-0000BB070000}"/>
    <cellStyle name="Moneda 2 2 6" xfId="983" xr:uid="{00000000-0005-0000-0000-0000BC070000}"/>
    <cellStyle name="Moneda 2 2 6 2" xfId="1188" xr:uid="{00000000-0005-0000-0000-0000BD070000}"/>
    <cellStyle name="Moneda 2 2 6 2 2" xfId="1991" xr:uid="{00000000-0005-0000-0000-0000BE070000}"/>
    <cellStyle name="Moneda 2 2 6 3" xfId="1816" xr:uid="{00000000-0005-0000-0000-0000BF070000}"/>
    <cellStyle name="Moneda 2 2 7" xfId="1087" xr:uid="{00000000-0005-0000-0000-0000C0070000}"/>
    <cellStyle name="Moneda 2 2 7 2" xfId="1262" xr:uid="{00000000-0005-0000-0000-0000C1070000}"/>
    <cellStyle name="Moneda 2 2 7 2 2" xfId="2065" xr:uid="{00000000-0005-0000-0000-0000C2070000}"/>
    <cellStyle name="Moneda 2 2 7 3" xfId="1890" xr:uid="{00000000-0005-0000-0000-0000C3070000}"/>
    <cellStyle name="Moneda 2 2 8" xfId="1161" xr:uid="{00000000-0005-0000-0000-0000C4070000}"/>
    <cellStyle name="Moneda 2 2 8 2" xfId="1964" xr:uid="{00000000-0005-0000-0000-0000C5070000}"/>
    <cellStyle name="Moneda 2 2 9" xfId="1792" xr:uid="{00000000-0005-0000-0000-0000C6070000}"/>
    <cellStyle name="Moneda 2 3" xfId="926" xr:uid="{00000000-0005-0000-0000-0000C7070000}"/>
    <cellStyle name="Moneda 2 3 2" xfId="1030" xr:uid="{00000000-0005-0000-0000-0000C8070000}"/>
    <cellStyle name="Moneda 2 3 2 2" xfId="1116" xr:uid="{00000000-0005-0000-0000-0000C9070000}"/>
    <cellStyle name="Moneda 2 3 2 2 2" xfId="1291" xr:uid="{00000000-0005-0000-0000-0000CA070000}"/>
    <cellStyle name="Moneda 2 3 2 2 2 2" xfId="2094" xr:uid="{00000000-0005-0000-0000-0000CB070000}"/>
    <cellStyle name="Moneda 2 3 2 2 3" xfId="1919" xr:uid="{00000000-0005-0000-0000-0000CC070000}"/>
    <cellStyle name="Moneda 2 3 2 3" xfId="1217" xr:uid="{00000000-0005-0000-0000-0000CD070000}"/>
    <cellStyle name="Moneda 2 3 2 3 2" xfId="2020" xr:uid="{00000000-0005-0000-0000-0000CE070000}"/>
    <cellStyle name="Moneda 2 3 2 4" xfId="1845" xr:uid="{00000000-0005-0000-0000-0000CF070000}"/>
    <cellStyle name="Moneda 2 3 3" xfId="984" xr:uid="{00000000-0005-0000-0000-0000D0070000}"/>
    <cellStyle name="Moneda 2 3 3 2" xfId="1189" xr:uid="{00000000-0005-0000-0000-0000D1070000}"/>
    <cellStyle name="Moneda 2 3 3 2 2" xfId="1992" xr:uid="{00000000-0005-0000-0000-0000D2070000}"/>
    <cellStyle name="Moneda 2 3 3 3" xfId="1817" xr:uid="{00000000-0005-0000-0000-0000D3070000}"/>
    <cellStyle name="Moneda 2 3 4" xfId="1088" xr:uid="{00000000-0005-0000-0000-0000D4070000}"/>
    <cellStyle name="Moneda 2 3 4 2" xfId="1263" xr:uid="{00000000-0005-0000-0000-0000D5070000}"/>
    <cellStyle name="Moneda 2 3 4 2 2" xfId="2066" xr:uid="{00000000-0005-0000-0000-0000D6070000}"/>
    <cellStyle name="Moneda 2 3 4 3" xfId="1891" xr:uid="{00000000-0005-0000-0000-0000D7070000}"/>
    <cellStyle name="Moneda 2 3 5" xfId="1162" xr:uid="{00000000-0005-0000-0000-0000D8070000}"/>
    <cellStyle name="Moneda 2 3 5 2" xfId="1965" xr:uid="{00000000-0005-0000-0000-0000D9070000}"/>
    <cellStyle name="Moneda 2 3 6" xfId="1793" xr:uid="{00000000-0005-0000-0000-0000DA070000}"/>
    <cellStyle name="Moneda 2 4" xfId="927" xr:uid="{00000000-0005-0000-0000-0000DB070000}"/>
    <cellStyle name="Moneda 2 4 2" xfId="1049" xr:uid="{00000000-0005-0000-0000-0000DC070000}"/>
    <cellStyle name="Moneda 2 4 2 2" xfId="1134" xr:uid="{00000000-0005-0000-0000-0000DD070000}"/>
    <cellStyle name="Moneda 2 4 2 2 2" xfId="1309" xr:uid="{00000000-0005-0000-0000-0000DE070000}"/>
    <cellStyle name="Moneda 2 4 2 2 2 2" xfId="2112" xr:uid="{00000000-0005-0000-0000-0000DF070000}"/>
    <cellStyle name="Moneda 2 4 2 2 3" xfId="1937" xr:uid="{00000000-0005-0000-0000-0000E0070000}"/>
    <cellStyle name="Moneda 2 4 2 3" xfId="1235" xr:uid="{00000000-0005-0000-0000-0000E1070000}"/>
    <cellStyle name="Moneda 2 4 2 3 2" xfId="2038" xr:uid="{00000000-0005-0000-0000-0000E2070000}"/>
    <cellStyle name="Moneda 2 4 2 4" xfId="1863" xr:uid="{00000000-0005-0000-0000-0000E3070000}"/>
    <cellStyle name="Moneda 2 4 3" xfId="985" xr:uid="{00000000-0005-0000-0000-0000E4070000}"/>
    <cellStyle name="Moneda 2 4 3 2" xfId="1190" xr:uid="{00000000-0005-0000-0000-0000E5070000}"/>
    <cellStyle name="Moneda 2 4 3 2 2" xfId="1993" xr:uid="{00000000-0005-0000-0000-0000E6070000}"/>
    <cellStyle name="Moneda 2 4 3 3" xfId="1818" xr:uid="{00000000-0005-0000-0000-0000E7070000}"/>
    <cellStyle name="Moneda 2 4 4" xfId="1089" xr:uid="{00000000-0005-0000-0000-0000E8070000}"/>
    <cellStyle name="Moneda 2 4 4 2" xfId="1264" xr:uid="{00000000-0005-0000-0000-0000E9070000}"/>
    <cellStyle name="Moneda 2 4 4 2 2" xfId="2067" xr:uid="{00000000-0005-0000-0000-0000EA070000}"/>
    <cellStyle name="Moneda 2 4 4 3" xfId="1892" xr:uid="{00000000-0005-0000-0000-0000EB070000}"/>
    <cellStyle name="Moneda 2 4 5" xfId="1163" xr:uid="{00000000-0005-0000-0000-0000EC070000}"/>
    <cellStyle name="Moneda 2 4 5 2" xfId="1966" xr:uid="{00000000-0005-0000-0000-0000ED070000}"/>
    <cellStyle name="Moneda 2 4 6" xfId="1794" xr:uid="{00000000-0005-0000-0000-0000EE070000}"/>
    <cellStyle name="Moneda 2 5" xfId="1059" xr:uid="{00000000-0005-0000-0000-0000EF070000}"/>
    <cellStyle name="Moneda 2 5 2" xfId="1141" xr:uid="{00000000-0005-0000-0000-0000F0070000}"/>
    <cellStyle name="Moneda 2 5 2 2" xfId="1316" xr:uid="{00000000-0005-0000-0000-0000F1070000}"/>
    <cellStyle name="Moneda 2 5 2 2 2" xfId="2119" xr:uid="{00000000-0005-0000-0000-0000F2070000}"/>
    <cellStyle name="Moneda 2 5 2 3" xfId="1944" xr:uid="{00000000-0005-0000-0000-0000F3070000}"/>
    <cellStyle name="Moneda 2 5 3" xfId="1242" xr:uid="{00000000-0005-0000-0000-0000F4070000}"/>
    <cellStyle name="Moneda 2 5 3 2" xfId="2045" xr:uid="{00000000-0005-0000-0000-0000F5070000}"/>
    <cellStyle name="Moneda 2 5 4" xfId="1870" xr:uid="{00000000-0005-0000-0000-0000F6070000}"/>
    <cellStyle name="Moneda 2 6" xfId="999" xr:uid="{00000000-0005-0000-0000-0000F7070000}"/>
    <cellStyle name="Moneda 2 6 2" xfId="1099" xr:uid="{00000000-0005-0000-0000-0000F8070000}"/>
    <cellStyle name="Moneda 2 6 2 2" xfId="1274" xr:uid="{00000000-0005-0000-0000-0000F9070000}"/>
    <cellStyle name="Moneda 2 6 2 2 2" xfId="2077" xr:uid="{00000000-0005-0000-0000-0000FA070000}"/>
    <cellStyle name="Moneda 2 6 2 3" xfId="1902" xr:uid="{00000000-0005-0000-0000-0000FB070000}"/>
    <cellStyle name="Moneda 2 6 3" xfId="1200" xr:uid="{00000000-0005-0000-0000-0000FC070000}"/>
    <cellStyle name="Moneda 2 6 3 2" xfId="2003" xr:uid="{00000000-0005-0000-0000-0000FD070000}"/>
    <cellStyle name="Moneda 2 6 4" xfId="1828" xr:uid="{00000000-0005-0000-0000-0000FE070000}"/>
    <cellStyle name="Moneda 2 7" xfId="967" xr:uid="{00000000-0005-0000-0000-0000FF070000}"/>
    <cellStyle name="Moneda 2 7 2" xfId="1170" xr:uid="{00000000-0005-0000-0000-000000080000}"/>
    <cellStyle name="Moneda 2 7 2 2" xfId="1973" xr:uid="{00000000-0005-0000-0000-000001080000}"/>
    <cellStyle name="Moneda 2 7 3" xfId="1800" xr:uid="{00000000-0005-0000-0000-000002080000}"/>
    <cellStyle name="Moneda 2 8" xfId="1069" xr:uid="{00000000-0005-0000-0000-000003080000}"/>
    <cellStyle name="Moneda 2 8 2" xfId="1244" xr:uid="{00000000-0005-0000-0000-000004080000}"/>
    <cellStyle name="Moneda 2 8 2 2" xfId="2047" xr:uid="{00000000-0005-0000-0000-000005080000}"/>
    <cellStyle name="Moneda 2 8 3" xfId="1872" xr:uid="{00000000-0005-0000-0000-000006080000}"/>
    <cellStyle name="Moneda 2 9" xfId="1323" xr:uid="{00000000-0005-0000-0000-000007080000}"/>
    <cellStyle name="Moneda 2 9 2" xfId="2122" xr:uid="{00000000-0005-0000-0000-000008080000}"/>
    <cellStyle name="Moneda 21 2 2 3" xfId="1006" xr:uid="{00000000-0005-0000-0000-000009080000}"/>
    <cellStyle name="Moneda 21 2 2 3 2" xfId="1034" xr:uid="{00000000-0005-0000-0000-00000A080000}"/>
    <cellStyle name="Moneda 21 2 2 3 2 2" xfId="1120" xr:uid="{00000000-0005-0000-0000-00000B080000}"/>
    <cellStyle name="Moneda 21 2 2 3 2 2 2" xfId="1295" xr:uid="{00000000-0005-0000-0000-00000C080000}"/>
    <cellStyle name="Moneda 21 2 2 3 2 2 2 2" xfId="2098" xr:uid="{00000000-0005-0000-0000-00000D080000}"/>
    <cellStyle name="Moneda 21 2 2 3 2 2 3" xfId="1923" xr:uid="{00000000-0005-0000-0000-00000E080000}"/>
    <cellStyle name="Moneda 21 2 2 3 2 3" xfId="1221" xr:uid="{00000000-0005-0000-0000-00000F080000}"/>
    <cellStyle name="Moneda 21 2 2 3 2 3 2" xfId="2024" xr:uid="{00000000-0005-0000-0000-000010080000}"/>
    <cellStyle name="Moneda 21 2 2 3 2 4" xfId="1849" xr:uid="{00000000-0005-0000-0000-000011080000}"/>
    <cellStyle name="Moneda 21 2 2 3 3" xfId="1058" xr:uid="{00000000-0005-0000-0000-000012080000}"/>
    <cellStyle name="Moneda 21 2 2 3 3 2" xfId="1140" xr:uid="{00000000-0005-0000-0000-000013080000}"/>
    <cellStyle name="Moneda 21 2 2 3 3 2 2" xfId="1315" xr:uid="{00000000-0005-0000-0000-000014080000}"/>
    <cellStyle name="Moneda 21 2 2 3 3 2 2 2" xfId="2118" xr:uid="{00000000-0005-0000-0000-000015080000}"/>
    <cellStyle name="Moneda 21 2 2 3 3 2 3" xfId="1943" xr:uid="{00000000-0005-0000-0000-000016080000}"/>
    <cellStyle name="Moneda 21 2 2 3 3 3" xfId="1241" xr:uid="{00000000-0005-0000-0000-000017080000}"/>
    <cellStyle name="Moneda 21 2 2 3 3 3 2" xfId="2044" xr:uid="{00000000-0005-0000-0000-000018080000}"/>
    <cellStyle name="Moneda 21 2 2 3 3 4" xfId="1869" xr:uid="{00000000-0005-0000-0000-000019080000}"/>
    <cellStyle name="Moneda 21 2 2 3 4" xfId="1103" xr:uid="{00000000-0005-0000-0000-00001A080000}"/>
    <cellStyle name="Moneda 21 2 2 3 4 2" xfId="1278" xr:uid="{00000000-0005-0000-0000-00001B080000}"/>
    <cellStyle name="Moneda 21 2 2 3 4 2 2" xfId="2081" xr:uid="{00000000-0005-0000-0000-00001C080000}"/>
    <cellStyle name="Moneda 21 2 2 3 4 3" xfId="1906" xr:uid="{00000000-0005-0000-0000-00001D080000}"/>
    <cellStyle name="Moneda 21 2 2 3 5" xfId="1204" xr:uid="{00000000-0005-0000-0000-00001E080000}"/>
    <cellStyle name="Moneda 21 2 2 3 5 2" xfId="2007" xr:uid="{00000000-0005-0000-0000-00001F080000}"/>
    <cellStyle name="Moneda 21 2 2 3 6" xfId="1832" xr:uid="{00000000-0005-0000-0000-000020080000}"/>
    <cellStyle name="Moneda 27 3" xfId="1004" xr:uid="{00000000-0005-0000-0000-000021080000}"/>
    <cellStyle name="Moneda 27 3 2" xfId="1033" xr:uid="{00000000-0005-0000-0000-000022080000}"/>
    <cellStyle name="Moneda 27 3 2 2" xfId="1119" xr:uid="{00000000-0005-0000-0000-000023080000}"/>
    <cellStyle name="Moneda 27 3 2 2 2" xfId="1294" xr:uid="{00000000-0005-0000-0000-000024080000}"/>
    <cellStyle name="Moneda 27 3 2 2 2 2" xfId="2097" xr:uid="{00000000-0005-0000-0000-000025080000}"/>
    <cellStyle name="Moneda 27 3 2 2 3" xfId="1922" xr:uid="{00000000-0005-0000-0000-000026080000}"/>
    <cellStyle name="Moneda 27 3 2 3" xfId="1220" xr:uid="{00000000-0005-0000-0000-000027080000}"/>
    <cellStyle name="Moneda 27 3 2 3 2" xfId="2023" xr:uid="{00000000-0005-0000-0000-000028080000}"/>
    <cellStyle name="Moneda 27 3 2 4" xfId="1848" xr:uid="{00000000-0005-0000-0000-000029080000}"/>
    <cellStyle name="Moneda 27 3 3" xfId="1057" xr:uid="{00000000-0005-0000-0000-00002A080000}"/>
    <cellStyle name="Moneda 27 3 3 2" xfId="1139" xr:uid="{00000000-0005-0000-0000-00002B080000}"/>
    <cellStyle name="Moneda 27 3 3 2 2" xfId="1314" xr:uid="{00000000-0005-0000-0000-00002C080000}"/>
    <cellStyle name="Moneda 27 3 3 2 2 2" xfId="2117" xr:uid="{00000000-0005-0000-0000-00002D080000}"/>
    <cellStyle name="Moneda 27 3 3 2 3" xfId="1942" xr:uid="{00000000-0005-0000-0000-00002E080000}"/>
    <cellStyle name="Moneda 27 3 3 3" xfId="1240" xr:uid="{00000000-0005-0000-0000-00002F080000}"/>
    <cellStyle name="Moneda 27 3 3 3 2" xfId="2043" xr:uid="{00000000-0005-0000-0000-000030080000}"/>
    <cellStyle name="Moneda 27 3 3 4" xfId="1868" xr:uid="{00000000-0005-0000-0000-000031080000}"/>
    <cellStyle name="Moneda 27 3 4" xfId="1102" xr:uid="{00000000-0005-0000-0000-000032080000}"/>
    <cellStyle name="Moneda 27 3 4 2" xfId="1277" xr:uid="{00000000-0005-0000-0000-000033080000}"/>
    <cellStyle name="Moneda 27 3 4 2 2" xfId="2080" xr:uid="{00000000-0005-0000-0000-000034080000}"/>
    <cellStyle name="Moneda 27 3 4 3" xfId="1905" xr:uid="{00000000-0005-0000-0000-000035080000}"/>
    <cellStyle name="Moneda 27 3 5" xfId="1203" xr:uid="{00000000-0005-0000-0000-000036080000}"/>
    <cellStyle name="Moneda 27 3 5 2" xfId="2006" xr:uid="{00000000-0005-0000-0000-000037080000}"/>
    <cellStyle name="Moneda 27 3 6" xfId="1831" xr:uid="{00000000-0005-0000-0000-000038080000}"/>
    <cellStyle name="Moneda 3" xfId="935" xr:uid="{00000000-0005-0000-0000-000039080000}"/>
    <cellStyle name="Moneda 3 2" xfId="1036" xr:uid="{00000000-0005-0000-0000-00003A080000}"/>
    <cellStyle name="Moneda 3 2 2" xfId="1122" xr:uid="{00000000-0005-0000-0000-00003B080000}"/>
    <cellStyle name="Moneda 3 2 2 2" xfId="1297" xr:uid="{00000000-0005-0000-0000-00003C080000}"/>
    <cellStyle name="Moneda 3 2 2 2 2" xfId="2100" xr:uid="{00000000-0005-0000-0000-00003D080000}"/>
    <cellStyle name="Moneda 3 2 2 3" xfId="1925" xr:uid="{00000000-0005-0000-0000-00003E080000}"/>
    <cellStyle name="Moneda 3 2 3" xfId="1223" xr:uid="{00000000-0005-0000-0000-00003F080000}"/>
    <cellStyle name="Moneda 3 2 3 2" xfId="2026" xr:uid="{00000000-0005-0000-0000-000040080000}"/>
    <cellStyle name="Moneda 3 2 4" xfId="1851" xr:uid="{00000000-0005-0000-0000-000041080000}"/>
    <cellStyle name="Moneda 3 3" xfId="1051" xr:uid="{00000000-0005-0000-0000-000042080000}"/>
    <cellStyle name="Moneda 3 3 2" xfId="1135" xr:uid="{00000000-0005-0000-0000-000043080000}"/>
    <cellStyle name="Moneda 3 3 2 2" xfId="1310" xr:uid="{00000000-0005-0000-0000-000044080000}"/>
    <cellStyle name="Moneda 3 3 2 2 2" xfId="2113" xr:uid="{00000000-0005-0000-0000-000045080000}"/>
    <cellStyle name="Moneda 3 3 2 3" xfId="1938" xr:uid="{00000000-0005-0000-0000-000046080000}"/>
    <cellStyle name="Moneda 3 3 3" xfId="1236" xr:uid="{00000000-0005-0000-0000-000047080000}"/>
    <cellStyle name="Moneda 3 3 3 2" xfId="2039" xr:uid="{00000000-0005-0000-0000-000048080000}"/>
    <cellStyle name="Moneda 3 3 4" xfId="1864" xr:uid="{00000000-0005-0000-0000-000049080000}"/>
    <cellStyle name="Moneda 3 4" xfId="1011" xr:uid="{00000000-0005-0000-0000-00004A080000}"/>
    <cellStyle name="Moneda 3 4 2" xfId="1105" xr:uid="{00000000-0005-0000-0000-00004B080000}"/>
    <cellStyle name="Moneda 3 4 2 2" xfId="1280" xr:uid="{00000000-0005-0000-0000-00004C080000}"/>
    <cellStyle name="Moneda 3 4 2 2 2" xfId="2083" xr:uid="{00000000-0005-0000-0000-00004D080000}"/>
    <cellStyle name="Moneda 3 4 2 3" xfId="1908" xr:uid="{00000000-0005-0000-0000-00004E080000}"/>
    <cellStyle name="Moneda 3 4 3" xfId="1206" xr:uid="{00000000-0005-0000-0000-00004F080000}"/>
    <cellStyle name="Moneda 3 4 3 2" xfId="2009" xr:uid="{00000000-0005-0000-0000-000050080000}"/>
    <cellStyle name="Moneda 3 4 4" xfId="1834" xr:uid="{00000000-0005-0000-0000-000051080000}"/>
    <cellStyle name="Moneda 3 5" xfId="990" xr:uid="{00000000-0005-0000-0000-000052080000}"/>
    <cellStyle name="Moneda 3 5 2" xfId="1195" xr:uid="{00000000-0005-0000-0000-000053080000}"/>
    <cellStyle name="Moneda 3 5 2 2" xfId="1998" xr:uid="{00000000-0005-0000-0000-000054080000}"/>
    <cellStyle name="Moneda 3 5 3" xfId="1823" xr:uid="{00000000-0005-0000-0000-000055080000}"/>
    <cellStyle name="Moneda 3 6" xfId="1094" xr:uid="{00000000-0005-0000-0000-000056080000}"/>
    <cellStyle name="Moneda 3 6 2" xfId="1269" xr:uid="{00000000-0005-0000-0000-000057080000}"/>
    <cellStyle name="Moneda 3 6 2 2" xfId="2072" xr:uid="{00000000-0005-0000-0000-000058080000}"/>
    <cellStyle name="Moneda 3 6 3" xfId="1897" xr:uid="{00000000-0005-0000-0000-000059080000}"/>
    <cellStyle name="Moneda 3 7" xfId="1168" xr:uid="{00000000-0005-0000-0000-00005A080000}"/>
    <cellStyle name="Moneda 3 7 2" xfId="1971" xr:uid="{00000000-0005-0000-0000-00005B080000}"/>
    <cellStyle name="Moneda 3 8" xfId="2508" xr:uid="{00000000-0005-0000-0000-00005C080000}"/>
    <cellStyle name="Moneda 3 9" xfId="1798" xr:uid="{00000000-0005-0000-0000-00005D080000}"/>
    <cellStyle name="Moneda 4" xfId="1028" xr:uid="{00000000-0005-0000-0000-00005E080000}"/>
    <cellStyle name="Moneda 4 2" xfId="1114" xr:uid="{00000000-0005-0000-0000-00005F080000}"/>
    <cellStyle name="Moneda 4 2 2" xfId="1289" xr:uid="{00000000-0005-0000-0000-000060080000}"/>
    <cellStyle name="Moneda 4 2 2 2" xfId="2092" xr:uid="{00000000-0005-0000-0000-000061080000}"/>
    <cellStyle name="Moneda 4 2 3" xfId="1917" xr:uid="{00000000-0005-0000-0000-000062080000}"/>
    <cellStyle name="Moneda 4 3" xfId="1215" xr:uid="{00000000-0005-0000-0000-000063080000}"/>
    <cellStyle name="Moneda 4 3 2" xfId="2018" xr:uid="{00000000-0005-0000-0000-000064080000}"/>
    <cellStyle name="Moneda 4 4" xfId="2516" xr:uid="{00000000-0005-0000-0000-000065080000}"/>
    <cellStyle name="Moneda 4 5" xfId="1843" xr:uid="{00000000-0005-0000-0000-000066080000}"/>
    <cellStyle name="Moneda 42" xfId="1046" xr:uid="{00000000-0005-0000-0000-000067080000}"/>
    <cellStyle name="Moneda 42 2" xfId="1132" xr:uid="{00000000-0005-0000-0000-000068080000}"/>
    <cellStyle name="Moneda 42 2 2" xfId="1307" xr:uid="{00000000-0005-0000-0000-000069080000}"/>
    <cellStyle name="Moneda 42 2 2 2" xfId="2110" xr:uid="{00000000-0005-0000-0000-00006A080000}"/>
    <cellStyle name="Moneda 42 2 3" xfId="1935" xr:uid="{00000000-0005-0000-0000-00006B080000}"/>
    <cellStyle name="Moneda 42 3" xfId="1233" xr:uid="{00000000-0005-0000-0000-00006C080000}"/>
    <cellStyle name="Moneda 42 3 2" xfId="2036" xr:uid="{00000000-0005-0000-0000-00006D080000}"/>
    <cellStyle name="Moneda 42 4" xfId="1861" xr:uid="{00000000-0005-0000-0000-00006E080000}"/>
    <cellStyle name="Moneda 46" xfId="1016" xr:uid="{00000000-0005-0000-0000-00006F080000}"/>
    <cellStyle name="Moneda 46 2" xfId="1038" xr:uid="{00000000-0005-0000-0000-000070080000}"/>
    <cellStyle name="Moneda 46 2 2" xfId="1124" xr:uid="{00000000-0005-0000-0000-000071080000}"/>
    <cellStyle name="Moneda 46 2 2 2" xfId="1299" xr:uid="{00000000-0005-0000-0000-000072080000}"/>
    <cellStyle name="Moneda 46 2 2 2 2" xfId="2102" xr:uid="{00000000-0005-0000-0000-000073080000}"/>
    <cellStyle name="Moneda 46 2 2 3" xfId="1927" xr:uid="{00000000-0005-0000-0000-000074080000}"/>
    <cellStyle name="Moneda 46 2 3" xfId="1225" xr:uid="{00000000-0005-0000-0000-000075080000}"/>
    <cellStyle name="Moneda 46 2 3 2" xfId="2028" xr:uid="{00000000-0005-0000-0000-000076080000}"/>
    <cellStyle name="Moneda 46 2 4" xfId="1853" xr:uid="{00000000-0005-0000-0000-000077080000}"/>
    <cellStyle name="Moneda 46 3" xfId="1107" xr:uid="{00000000-0005-0000-0000-000078080000}"/>
    <cellStyle name="Moneda 46 3 2" xfId="1282" xr:uid="{00000000-0005-0000-0000-000079080000}"/>
    <cellStyle name="Moneda 46 3 2 2" xfId="2085" xr:uid="{00000000-0005-0000-0000-00007A080000}"/>
    <cellStyle name="Moneda 46 3 3" xfId="1910" xr:uid="{00000000-0005-0000-0000-00007B080000}"/>
    <cellStyle name="Moneda 46 4" xfId="1208" xr:uid="{00000000-0005-0000-0000-00007C080000}"/>
    <cellStyle name="Moneda 46 4 2" xfId="2011" xr:uid="{00000000-0005-0000-0000-00007D080000}"/>
    <cellStyle name="Moneda 46 5" xfId="1836" xr:uid="{00000000-0005-0000-0000-00007E080000}"/>
    <cellStyle name="Moneda 5" xfId="1055" xr:uid="{00000000-0005-0000-0000-00007F080000}"/>
    <cellStyle name="Moneda 5 2" xfId="1137" xr:uid="{00000000-0005-0000-0000-000080080000}"/>
    <cellStyle name="Moneda 5 2 2" xfId="1312" xr:uid="{00000000-0005-0000-0000-000081080000}"/>
    <cellStyle name="Moneda 5 2 2 2" xfId="2115" xr:uid="{00000000-0005-0000-0000-000082080000}"/>
    <cellStyle name="Moneda 5 2 3" xfId="1940" xr:uid="{00000000-0005-0000-0000-000083080000}"/>
    <cellStyle name="Moneda 5 3" xfId="1238" xr:uid="{00000000-0005-0000-0000-000084080000}"/>
    <cellStyle name="Moneda 5 3 2" xfId="2041" xr:uid="{00000000-0005-0000-0000-000085080000}"/>
    <cellStyle name="Moneda 5 4" xfId="1866" xr:uid="{00000000-0005-0000-0000-000086080000}"/>
    <cellStyle name="Moneda 6" xfId="993" xr:uid="{00000000-0005-0000-0000-000087080000}"/>
    <cellStyle name="Moneda 6 2" xfId="1097" xr:uid="{00000000-0005-0000-0000-000088080000}"/>
    <cellStyle name="Moneda 6 2 2" xfId="1272" xr:uid="{00000000-0005-0000-0000-000089080000}"/>
    <cellStyle name="Moneda 6 2 2 2" xfId="2075" xr:uid="{00000000-0005-0000-0000-00008A080000}"/>
    <cellStyle name="Moneda 6 2 3" xfId="1900" xr:uid="{00000000-0005-0000-0000-00008B080000}"/>
    <cellStyle name="Moneda 6 3" xfId="1198" xr:uid="{00000000-0005-0000-0000-00008C080000}"/>
    <cellStyle name="Moneda 6 3 2" xfId="2001" xr:uid="{00000000-0005-0000-0000-00008D080000}"/>
    <cellStyle name="Moneda 6 4" xfId="1826" xr:uid="{00000000-0005-0000-0000-00008E080000}"/>
    <cellStyle name="Moneda 7" xfId="1325" xr:uid="{00000000-0005-0000-0000-00008F080000}"/>
    <cellStyle name="Moneda 7 2" xfId="2123" xr:uid="{00000000-0005-0000-0000-000090080000}"/>
    <cellStyle name="Moneda 8" xfId="2490" xr:uid="{00000000-0005-0000-0000-000091080000}"/>
    <cellStyle name="Moneda 9" xfId="2519" xr:uid="{00000000-0005-0000-0000-000092080000}"/>
    <cellStyle name="Mon閠aire [0]_AR1194e" xfId="735" xr:uid="{00000000-0005-0000-0000-000093080000}"/>
    <cellStyle name="Mon閠aire_AR1194M" xfId="736" xr:uid="{00000000-0005-0000-0000-000094080000}"/>
    <cellStyle name="MS Proofing Tools" xfId="737" xr:uid="{00000000-0005-0000-0000-000095080000}"/>
    <cellStyle name="MSG1" xfId="738" xr:uid="{00000000-0005-0000-0000-000096080000}"/>
    <cellStyle name="Navadno_tn-kanal-september" xfId="739" xr:uid="{00000000-0005-0000-0000-000097080000}"/>
    <cellStyle name="Neutral 2" xfId="126" xr:uid="{00000000-0005-0000-0000-000098080000}"/>
    <cellStyle name="Neutral 2 2" xfId="2509" xr:uid="{00000000-0005-0000-0000-000099080000}"/>
    <cellStyle name="Neutral 3" xfId="2493" xr:uid="{00000000-0005-0000-0000-00009A080000}"/>
    <cellStyle name="Neutro" xfId="740" xr:uid="{00000000-0005-0000-0000-00009B080000}"/>
    <cellStyle name="no dec" xfId="741" xr:uid="{00000000-0005-0000-0000-00009C080000}"/>
    <cellStyle name="Normal" xfId="0" builtinId="0"/>
    <cellStyle name="Normal - Style1" xfId="742" xr:uid="{00000000-0005-0000-0000-00009E080000}"/>
    <cellStyle name="Normal - Style1 2" xfId="934" xr:uid="{00000000-0005-0000-0000-00009F080000}"/>
    <cellStyle name="Normal - Style1 2 2" xfId="1009" xr:uid="{00000000-0005-0000-0000-0000A0080000}"/>
    <cellStyle name="Normal 10" xfId="743" xr:uid="{00000000-0005-0000-0000-0000A1080000}"/>
    <cellStyle name="Normal 10 2" xfId="943" xr:uid="{00000000-0005-0000-0000-0000A2080000}"/>
    <cellStyle name="Normal 10 2 2" xfId="1061" xr:uid="{00000000-0005-0000-0000-0000A3080000}"/>
    <cellStyle name="Normal 10 2 5" xfId="33" xr:uid="{00000000-0005-0000-0000-0000A4080000}"/>
    <cellStyle name="Normal 10 2 5 2" xfId="127" xr:uid="{00000000-0005-0000-0000-0000A5080000}"/>
    <cellStyle name="Normal 100" xfId="962" xr:uid="{00000000-0005-0000-0000-0000A6080000}"/>
    <cellStyle name="Normal 101" xfId="963" xr:uid="{00000000-0005-0000-0000-0000A7080000}"/>
    <cellStyle name="Normal 102" xfId="964" xr:uid="{00000000-0005-0000-0000-0000A8080000}"/>
    <cellStyle name="Normal 103" xfId="965" xr:uid="{00000000-0005-0000-0000-0000A9080000}"/>
    <cellStyle name="Normal 104" xfId="966" xr:uid="{00000000-0005-0000-0000-0000AA080000}"/>
    <cellStyle name="Normal 11" xfId="872" xr:uid="{00000000-0005-0000-0000-0000AB080000}"/>
    <cellStyle name="Normal 11 2" xfId="1048" xr:uid="{00000000-0005-0000-0000-0000AC080000}"/>
    <cellStyle name="Normal 11 3" xfId="1336" xr:uid="{00000000-0005-0000-0000-0000AD080000}"/>
    <cellStyle name="Normal 12" xfId="128" xr:uid="{00000000-0005-0000-0000-0000AE080000}"/>
    <cellStyle name="Normal 12 2" xfId="944" xr:uid="{00000000-0005-0000-0000-0000AF080000}"/>
    <cellStyle name="Normal 13" xfId="35" xr:uid="{00000000-0005-0000-0000-0000B0080000}"/>
    <cellStyle name="Normal 13 2" xfId="129" xr:uid="{00000000-0005-0000-0000-0000B1080000}"/>
    <cellStyle name="Normal 13 3" xfId="945" xr:uid="{00000000-0005-0000-0000-0000B2080000}"/>
    <cellStyle name="Normal 14" xfId="868" xr:uid="{00000000-0005-0000-0000-0000B3080000}"/>
    <cellStyle name="Normal 14 2" xfId="946" xr:uid="{00000000-0005-0000-0000-0000B4080000}"/>
    <cellStyle name="Normal 15" xfId="869" xr:uid="{00000000-0005-0000-0000-0000B5080000}"/>
    <cellStyle name="Normal 16" xfId="873" xr:uid="{00000000-0005-0000-0000-0000B6080000}"/>
    <cellStyle name="Normal 16 2" xfId="1341" xr:uid="{00000000-0005-0000-0000-0000B7080000}"/>
    <cellStyle name="Normal 17" xfId="874" xr:uid="{00000000-0005-0000-0000-0000B8080000}"/>
    <cellStyle name="Normal 17 2" xfId="1020" xr:uid="{00000000-0005-0000-0000-0000B9080000}"/>
    <cellStyle name="Normal 17 3" xfId="1343" xr:uid="{00000000-0005-0000-0000-0000BA080000}"/>
    <cellStyle name="Normal 18" xfId="875" xr:uid="{00000000-0005-0000-0000-0000BB080000}"/>
    <cellStyle name="Normal 18 2" xfId="1342" xr:uid="{00000000-0005-0000-0000-0000BC080000}"/>
    <cellStyle name="Normal 19" xfId="876" xr:uid="{00000000-0005-0000-0000-0000BD080000}"/>
    <cellStyle name="Normal 19 2" xfId="1344" xr:uid="{00000000-0005-0000-0000-0000BE080000}"/>
    <cellStyle name="Normal 2" xfId="36" xr:uid="{00000000-0005-0000-0000-0000BF080000}"/>
    <cellStyle name="Normal 2 10 4" xfId="1005" xr:uid="{00000000-0005-0000-0000-0000C0080000}"/>
    <cellStyle name="Normal 2 2" xfId="130" xr:uid="{00000000-0005-0000-0000-0000C1080000}"/>
    <cellStyle name="Normal 2 2 15" xfId="1025" xr:uid="{00000000-0005-0000-0000-0000C2080000}"/>
    <cellStyle name="Normal 2 2 2" xfId="148" xr:uid="{00000000-0005-0000-0000-0000C3080000}"/>
    <cellStyle name="Normal 2 3" xfId="870" xr:uid="{00000000-0005-0000-0000-0000C4080000}"/>
    <cellStyle name="Normal 2 4" xfId="131" xr:uid="{00000000-0005-0000-0000-0000C5080000}"/>
    <cellStyle name="Normal 2 5" xfId="2503" xr:uid="{00000000-0005-0000-0000-0000C6080000}"/>
    <cellStyle name="Normal 2 51" xfId="1015" xr:uid="{00000000-0005-0000-0000-0000C7080000}"/>
    <cellStyle name="Normal 20" xfId="877" xr:uid="{00000000-0005-0000-0000-0000C8080000}"/>
    <cellStyle name="Normal 20 2" xfId="1346" xr:uid="{00000000-0005-0000-0000-0000C9080000}"/>
    <cellStyle name="Normal 21" xfId="878" xr:uid="{00000000-0005-0000-0000-0000CA080000}"/>
    <cellStyle name="Normal 22" xfId="879" xr:uid="{00000000-0005-0000-0000-0000CB080000}"/>
    <cellStyle name="Normal 23" xfId="880" xr:uid="{00000000-0005-0000-0000-0000CC080000}"/>
    <cellStyle name="Normal 24" xfId="881" xr:uid="{00000000-0005-0000-0000-0000CD080000}"/>
    <cellStyle name="Normal 25" xfId="882" xr:uid="{00000000-0005-0000-0000-0000CE080000}"/>
    <cellStyle name="Normal 26" xfId="883" xr:uid="{00000000-0005-0000-0000-0000CF080000}"/>
    <cellStyle name="Normal 27" xfId="884" xr:uid="{00000000-0005-0000-0000-0000D0080000}"/>
    <cellStyle name="Normal 28" xfId="885" xr:uid="{00000000-0005-0000-0000-0000D1080000}"/>
    <cellStyle name="Normal 29" xfId="886" xr:uid="{00000000-0005-0000-0000-0000D2080000}"/>
    <cellStyle name="Normal 3" xfId="50" xr:uid="{00000000-0005-0000-0000-0000D3080000}"/>
    <cellStyle name="Normal 3 10" xfId="1026" xr:uid="{00000000-0005-0000-0000-0000D4080000}"/>
    <cellStyle name="Normal 3 2" xfId="132" xr:uid="{00000000-0005-0000-0000-0000D5080000}"/>
    <cellStyle name="Normal 3 2 2" xfId="133" xr:uid="{00000000-0005-0000-0000-0000D6080000}"/>
    <cellStyle name="Normal 3 2 3" xfId="1060" xr:uid="{00000000-0005-0000-0000-0000D7080000}"/>
    <cellStyle name="Normal 3 2 3 2" xfId="1340" xr:uid="{00000000-0005-0000-0000-0000D8080000}"/>
    <cellStyle name="Normal 3 2 6" xfId="1012" xr:uid="{00000000-0005-0000-0000-0000D9080000}"/>
    <cellStyle name="Normal 3 3" xfId="134" xr:uid="{00000000-0005-0000-0000-0000DA080000}"/>
    <cellStyle name="Normal 3 3 2" xfId="1349" xr:uid="{00000000-0005-0000-0000-0000DB080000}"/>
    <cellStyle name="Normal 3 4" xfId="928" xr:uid="{00000000-0005-0000-0000-0000DC080000}"/>
    <cellStyle name="Normal 3 4 2" xfId="1339" xr:uid="{00000000-0005-0000-0000-0000DD080000}"/>
    <cellStyle name="Normal 3 5" xfId="1067" xr:uid="{00000000-0005-0000-0000-0000DE080000}"/>
    <cellStyle name="Normal 3 6" xfId="1724" xr:uid="{00000000-0005-0000-0000-0000DF080000}"/>
    <cellStyle name="Normal 3 7" xfId="2506" xr:uid="{00000000-0005-0000-0000-0000E0080000}"/>
    <cellStyle name="Normal 3_Market Performance" xfId="744" xr:uid="{00000000-0005-0000-0000-0000E1080000}"/>
    <cellStyle name="Normal 30" xfId="887" xr:uid="{00000000-0005-0000-0000-0000E2080000}"/>
    <cellStyle name="Normal 30 2" xfId="1053" xr:uid="{00000000-0005-0000-0000-0000E3080000}"/>
    <cellStyle name="Normal 31" xfId="888" xr:uid="{00000000-0005-0000-0000-0000E4080000}"/>
    <cellStyle name="Normal 32" xfId="889" xr:uid="{00000000-0005-0000-0000-0000E5080000}"/>
    <cellStyle name="Normal 33" xfId="890" xr:uid="{00000000-0005-0000-0000-0000E6080000}"/>
    <cellStyle name="Normal 34" xfId="891" xr:uid="{00000000-0005-0000-0000-0000E7080000}"/>
    <cellStyle name="Normal 35" xfId="892" xr:uid="{00000000-0005-0000-0000-0000E8080000}"/>
    <cellStyle name="Normal 36" xfId="893" xr:uid="{00000000-0005-0000-0000-0000E9080000}"/>
    <cellStyle name="Normal 36 2" xfId="1054" xr:uid="{00000000-0005-0000-0000-0000EA080000}"/>
    <cellStyle name="Normal 36 2 3" xfId="1002" xr:uid="{00000000-0005-0000-0000-0000EB080000}"/>
    <cellStyle name="Normal 37" xfId="894" xr:uid="{00000000-0005-0000-0000-0000EC080000}"/>
    <cellStyle name="Normal 38" xfId="895" xr:uid="{00000000-0005-0000-0000-0000ED080000}"/>
    <cellStyle name="Normal 39" xfId="896" xr:uid="{00000000-0005-0000-0000-0000EE080000}"/>
    <cellStyle name="Normal 4" xfId="745" xr:uid="{00000000-0005-0000-0000-0000EF080000}"/>
    <cellStyle name="Normal 4 2" xfId="746" xr:uid="{00000000-0005-0000-0000-0000F0080000}"/>
    <cellStyle name="Normal 4 2 2" xfId="1043" xr:uid="{00000000-0005-0000-0000-0000F1080000}"/>
    <cellStyle name="Normal 4 2 2 2" xfId="1129" xr:uid="{00000000-0005-0000-0000-0000F2080000}"/>
    <cellStyle name="Normal 4 2 2 2 2" xfId="1304" xr:uid="{00000000-0005-0000-0000-0000F3080000}"/>
    <cellStyle name="Normal 4 2 2 2 2 2" xfId="2107" xr:uid="{00000000-0005-0000-0000-0000F4080000}"/>
    <cellStyle name="Normal 4 2 2 2 3" xfId="1932" xr:uid="{00000000-0005-0000-0000-0000F5080000}"/>
    <cellStyle name="Normal 4 2 2 3" xfId="1230" xr:uid="{00000000-0005-0000-0000-0000F6080000}"/>
    <cellStyle name="Normal 4 2 2 3 2" xfId="2033" xr:uid="{00000000-0005-0000-0000-0000F7080000}"/>
    <cellStyle name="Normal 4 2 2 4" xfId="1858" xr:uid="{00000000-0005-0000-0000-0000F8080000}"/>
    <cellStyle name="Normal 4 3" xfId="747" xr:uid="{00000000-0005-0000-0000-0000F9080000}"/>
    <cellStyle name="Normal 4 4" xfId="937" xr:uid="{00000000-0005-0000-0000-0000FA080000}"/>
    <cellStyle name="Normal 4 5" xfId="1023" xr:uid="{00000000-0005-0000-0000-0000FB080000}"/>
    <cellStyle name="Normal 4 5 2" xfId="1112" xr:uid="{00000000-0005-0000-0000-0000FC080000}"/>
    <cellStyle name="Normal 4 5 2 2" xfId="1287" xr:uid="{00000000-0005-0000-0000-0000FD080000}"/>
    <cellStyle name="Normal 4 5 2 2 2" xfId="2090" xr:uid="{00000000-0005-0000-0000-0000FE080000}"/>
    <cellStyle name="Normal 4 5 2 3" xfId="1915" xr:uid="{00000000-0005-0000-0000-0000FF080000}"/>
    <cellStyle name="Normal 4 5 3" xfId="1213" xr:uid="{00000000-0005-0000-0000-000000090000}"/>
    <cellStyle name="Normal 4 5 3 2" xfId="2016" xr:uid="{00000000-0005-0000-0000-000001090000}"/>
    <cellStyle name="Normal 4 5 4" xfId="1345" xr:uid="{00000000-0005-0000-0000-000002090000}"/>
    <cellStyle name="Normal 4 5 4 2" xfId="2124" xr:uid="{00000000-0005-0000-0000-000003090000}"/>
    <cellStyle name="Normal 4 5 5" xfId="1841" xr:uid="{00000000-0005-0000-0000-000004090000}"/>
    <cellStyle name="Normal 4 6" xfId="1719" xr:uid="{00000000-0005-0000-0000-000005090000}"/>
    <cellStyle name="Normal 4_Market Performance" xfId="748" xr:uid="{00000000-0005-0000-0000-000006090000}"/>
    <cellStyle name="Normal 40" xfId="897" xr:uid="{00000000-0005-0000-0000-000007090000}"/>
    <cellStyle name="Normal 41" xfId="898" xr:uid="{00000000-0005-0000-0000-000008090000}"/>
    <cellStyle name="Normal 41 2" xfId="996" xr:uid="{00000000-0005-0000-0000-000009090000}"/>
    <cellStyle name="Normal 42" xfId="899" xr:uid="{00000000-0005-0000-0000-00000A090000}"/>
    <cellStyle name="Normal 43" xfId="900" xr:uid="{00000000-0005-0000-0000-00000B090000}"/>
    <cellStyle name="Normal 44" xfId="901" xr:uid="{00000000-0005-0000-0000-00000C090000}"/>
    <cellStyle name="Normal 45" xfId="902" xr:uid="{00000000-0005-0000-0000-00000D090000}"/>
    <cellStyle name="Normal 46" xfId="903" xr:uid="{00000000-0005-0000-0000-00000E090000}"/>
    <cellStyle name="Normal 47" xfId="904" xr:uid="{00000000-0005-0000-0000-00000F090000}"/>
    <cellStyle name="Normal 48" xfId="905" xr:uid="{00000000-0005-0000-0000-000010090000}"/>
    <cellStyle name="Normal 49" xfId="906" xr:uid="{00000000-0005-0000-0000-000011090000}"/>
    <cellStyle name="Normal 5" xfId="749" xr:uid="{00000000-0005-0000-0000-000012090000}"/>
    <cellStyle name="Normal 5 2" xfId="750" xr:uid="{00000000-0005-0000-0000-000013090000}"/>
    <cellStyle name="Normal 5 3" xfId="938" xr:uid="{00000000-0005-0000-0000-000014090000}"/>
    <cellStyle name="Normal 5 4" xfId="1000" xr:uid="{00000000-0005-0000-0000-000015090000}"/>
    <cellStyle name="Normal 50" xfId="907" xr:uid="{00000000-0005-0000-0000-000016090000}"/>
    <cellStyle name="Normal 51" xfId="908" xr:uid="{00000000-0005-0000-0000-000017090000}"/>
    <cellStyle name="Normal 52" xfId="909" xr:uid="{00000000-0005-0000-0000-000018090000}"/>
    <cellStyle name="Normal 53" xfId="931" xr:uid="{00000000-0005-0000-0000-000019090000}"/>
    <cellStyle name="Normal 54" xfId="947" xr:uid="{00000000-0005-0000-0000-00001A090000}"/>
    <cellStyle name="Normal 55" xfId="929" xr:uid="{00000000-0005-0000-0000-00001B090000}"/>
    <cellStyle name="Normal 56" xfId="1318" xr:uid="{00000000-0005-0000-0000-00001C090000}"/>
    <cellStyle name="Normal 56 2" xfId="1709" xr:uid="{00000000-0005-0000-0000-00001D090000}"/>
    <cellStyle name="Normal 57" xfId="949" xr:uid="{00000000-0005-0000-0000-00001E090000}"/>
    <cellStyle name="Normal 58" xfId="951" xr:uid="{00000000-0005-0000-0000-00001F090000}"/>
    <cellStyle name="Normal 59" xfId="948" xr:uid="{00000000-0005-0000-0000-000020090000}"/>
    <cellStyle name="Normal 6" xfId="751" xr:uid="{00000000-0005-0000-0000-000021090000}"/>
    <cellStyle name="Normal 6 2" xfId="939" xr:uid="{00000000-0005-0000-0000-000022090000}"/>
    <cellStyle name="Normal 6 3" xfId="1720" xr:uid="{00000000-0005-0000-0000-000023090000}"/>
    <cellStyle name="Normal 60" xfId="950" xr:uid="{00000000-0005-0000-0000-000024090000}"/>
    <cellStyle name="Normal 61" xfId="952" xr:uid="{00000000-0005-0000-0000-000025090000}"/>
    <cellStyle name="Normal 62" xfId="953" xr:uid="{00000000-0005-0000-0000-000026090000}"/>
    <cellStyle name="Normal 62 2" xfId="1014" xr:uid="{00000000-0005-0000-0000-000027090000}"/>
    <cellStyle name="Normal 63" xfId="954" xr:uid="{00000000-0005-0000-0000-000028090000}"/>
    <cellStyle name="Normal 64" xfId="955" xr:uid="{00000000-0005-0000-0000-000029090000}"/>
    <cellStyle name="Normal 65" xfId="1333" xr:uid="{00000000-0005-0000-0000-00002A090000}"/>
    <cellStyle name="Normal 65 2" xfId="1711" xr:uid="{00000000-0005-0000-0000-00002B090000}"/>
    <cellStyle name="Normal 66" xfId="1334" xr:uid="{00000000-0005-0000-0000-00002C090000}"/>
    <cellStyle name="Normal 66 2" xfId="1712" xr:uid="{00000000-0005-0000-0000-00002D090000}"/>
    <cellStyle name="Normal 67" xfId="1716" xr:uid="{00000000-0005-0000-0000-00002E090000}"/>
    <cellStyle name="Normal 68" xfId="956" xr:uid="{00000000-0005-0000-0000-00002F090000}"/>
    <cellStyle name="Normal 69" xfId="957" xr:uid="{00000000-0005-0000-0000-000030090000}"/>
    <cellStyle name="Normal 7" xfId="752" xr:uid="{00000000-0005-0000-0000-000031090000}"/>
    <cellStyle name="Normal 7 2" xfId="940" xr:uid="{00000000-0005-0000-0000-000032090000}"/>
    <cellStyle name="Normal 70" xfId="958" xr:uid="{00000000-0005-0000-0000-000033090000}"/>
    <cellStyle name="Normal 71" xfId="961" xr:uid="{00000000-0005-0000-0000-000034090000}"/>
    <cellStyle name="Normal 72" xfId="960" xr:uid="{00000000-0005-0000-0000-000035090000}"/>
    <cellStyle name="Normal 73" xfId="959" xr:uid="{00000000-0005-0000-0000-000036090000}"/>
    <cellStyle name="Normal 74" xfId="1725" xr:uid="{00000000-0005-0000-0000-000037090000}"/>
    <cellStyle name="Normal 75" xfId="2488" xr:uid="{00000000-0005-0000-0000-000038090000}"/>
    <cellStyle name="Normal 76" xfId="2518" xr:uid="{00000000-0005-0000-0000-000039090000}"/>
    <cellStyle name="Normal 8" xfId="753" xr:uid="{00000000-0005-0000-0000-00003A090000}"/>
    <cellStyle name="Normal 8 2" xfId="941" xr:uid="{00000000-0005-0000-0000-00003B090000}"/>
    <cellStyle name="Normal 8 2 2" xfId="1018" xr:uid="{00000000-0005-0000-0000-00003C090000}"/>
    <cellStyle name="Normal 9" xfId="754" xr:uid="{00000000-0005-0000-0000-00003D090000}"/>
    <cellStyle name="Normal 9 2" xfId="942" xr:uid="{00000000-0005-0000-0000-00003E090000}"/>
    <cellStyle name="Normal 9 3" xfId="994" xr:uid="{00000000-0005-0000-0000-00003F090000}"/>
    <cellStyle name="Normal 9 4 2" xfId="998" xr:uid="{00000000-0005-0000-0000-000040090000}"/>
    <cellStyle name="Normal 91" xfId="755" xr:uid="{00000000-0005-0000-0000-000041090000}"/>
    <cellStyle name="Normale 2" xfId="756" xr:uid="{00000000-0005-0000-0000-000045090000}"/>
    <cellStyle name="Normale_AUDI Print" xfId="757" xr:uid="{00000000-0005-0000-0000-000046090000}"/>
    <cellStyle name="Normalny_Print Cost Data" xfId="758" xr:uid="{00000000-0005-0000-0000-000047090000}"/>
    <cellStyle name="Nota" xfId="759" xr:uid="{00000000-0005-0000-0000-000048090000}"/>
    <cellStyle name="Nota 2" xfId="760" xr:uid="{00000000-0005-0000-0000-000049090000}"/>
    <cellStyle name="Notas" xfId="11" builtinId="10" customBuiltin="1"/>
    <cellStyle name="Note 2" xfId="135" xr:uid="{00000000-0005-0000-0000-00004B090000}"/>
    <cellStyle name="Note 2 2" xfId="136" xr:uid="{00000000-0005-0000-0000-00004C090000}"/>
    <cellStyle name="Note 3" xfId="761" xr:uid="{00000000-0005-0000-0000-00004D090000}"/>
    <cellStyle name="Note 4" xfId="762" xr:uid="{00000000-0005-0000-0000-00004E090000}"/>
    <cellStyle name="Note 5" xfId="763" xr:uid="{00000000-0005-0000-0000-00004F090000}"/>
    <cellStyle name="Note 6" xfId="1338" xr:uid="{00000000-0005-0000-0000-000050090000}"/>
    <cellStyle name="Output 2" xfId="137" xr:uid="{00000000-0005-0000-0000-000051090000}"/>
    <cellStyle name="PAL" xfId="764" xr:uid="{00000000-0005-0000-0000-000052090000}"/>
    <cellStyle name="Percent [2]" xfId="765" xr:uid="{00000000-0005-0000-0000-000053090000}"/>
    <cellStyle name="Percent [2] 2" xfId="766" xr:uid="{00000000-0005-0000-0000-000054090000}"/>
    <cellStyle name="Percent 10" xfId="37" xr:uid="{00000000-0005-0000-0000-000055090000}"/>
    <cellStyle name="Percent 10 2" xfId="138" xr:uid="{00000000-0005-0000-0000-000056090000}"/>
    <cellStyle name="Percent 2" xfId="32" xr:uid="{00000000-0005-0000-0000-000057090000}"/>
    <cellStyle name="Percent 2 2" xfId="139" xr:uid="{00000000-0005-0000-0000-000058090000}"/>
    <cellStyle name="Percent 3" xfId="140" xr:uid="{00000000-0005-0000-0000-000059090000}"/>
    <cellStyle name="Percent 3 2" xfId="141" xr:uid="{00000000-0005-0000-0000-00005A090000}"/>
    <cellStyle name="Percent 4" xfId="767" xr:uid="{00000000-0005-0000-0000-00005B090000}"/>
    <cellStyle name="Percent 5" xfId="768" xr:uid="{00000000-0005-0000-0000-00005C090000}"/>
    <cellStyle name="Percent 6" xfId="769" xr:uid="{00000000-0005-0000-0000-00005D090000}"/>
    <cellStyle name="Percent 7" xfId="770" xr:uid="{00000000-0005-0000-0000-00005E090000}"/>
    <cellStyle name="Percent 8" xfId="771" xr:uid="{00000000-0005-0000-0000-00005F090000}"/>
    <cellStyle name="PERCENTAGE" xfId="772" xr:uid="{00000000-0005-0000-0000-000060090000}"/>
    <cellStyle name="Percentagem 2" xfId="773" xr:uid="{00000000-0005-0000-0000-000061090000}"/>
    <cellStyle name="Percentagem 2 2" xfId="774" xr:uid="{00000000-0005-0000-0000-000062090000}"/>
    <cellStyle name="Percentagem 3" xfId="775" xr:uid="{00000000-0005-0000-0000-000063090000}"/>
    <cellStyle name="Percentagem 3 2" xfId="776" xr:uid="{00000000-0005-0000-0000-000064090000}"/>
    <cellStyle name="Porcentaje 2" xfId="1717" xr:uid="{00000000-0005-0000-0000-000066090000}"/>
    <cellStyle name="PORCENTAJE 2 2" xfId="995" xr:uid="{00000000-0005-0000-0000-000067090000}"/>
    <cellStyle name="Porcentaje 2 2 2" xfId="1050" xr:uid="{00000000-0005-0000-0000-000068090000}"/>
    <cellStyle name="PRICE ADJUSTMENT" xfId="777" xr:uid="{00000000-0005-0000-0000-000069090000}"/>
    <cellStyle name="Print Titles" xfId="778" xr:uid="{00000000-0005-0000-0000-00006A090000}"/>
    <cellStyle name="ROOM HEADING" xfId="779" xr:uid="{00000000-0005-0000-0000-00006B090000}"/>
    <cellStyle name="ROOM TOTAL" xfId="780" xr:uid="{00000000-0005-0000-0000-00006C090000}"/>
    <cellStyle name="ROOM TOTAL 2" xfId="831" xr:uid="{00000000-0005-0000-0000-00006D090000}"/>
    <cellStyle name="ROOM TOTAL 2 2" xfId="865" xr:uid="{00000000-0005-0000-0000-00006E090000}"/>
    <cellStyle name="ROOM TOTAL 2 2 2" xfId="1185" xr:uid="{00000000-0005-0000-0000-00006F090000}"/>
    <cellStyle name="ROOM TOTAL 2 2 2 2" xfId="1988" xr:uid="{00000000-0005-0000-0000-000070090000}"/>
    <cellStyle name="ROOM TOTAL 2 2 3" xfId="1775" xr:uid="{00000000-0005-0000-0000-000071090000}"/>
    <cellStyle name="ROOM TOTAL 2 3" xfId="1084" xr:uid="{00000000-0005-0000-0000-000072090000}"/>
    <cellStyle name="ROOM TOTAL 2 3 2" xfId="1259" xr:uid="{00000000-0005-0000-0000-000073090000}"/>
    <cellStyle name="ROOM TOTAL 2 3 2 2" xfId="2062" xr:uid="{00000000-0005-0000-0000-000074090000}"/>
    <cellStyle name="ROOM TOTAL 2 3 3" xfId="1887" xr:uid="{00000000-0005-0000-0000-000075090000}"/>
    <cellStyle name="ROOM TOTAL 2 4" xfId="1158" xr:uid="{00000000-0005-0000-0000-000076090000}"/>
    <cellStyle name="ROOM TOTAL 2 4 2" xfId="1961" xr:uid="{00000000-0005-0000-0000-000077090000}"/>
    <cellStyle name="ROOM TOTAL 2 5" xfId="1741" xr:uid="{00000000-0005-0000-0000-000078090000}"/>
    <cellStyle name="ROOM TOTAL 3" xfId="848" xr:uid="{00000000-0005-0000-0000-000079090000}"/>
    <cellStyle name="ROOM TOTAL 3 2" xfId="1758" xr:uid="{00000000-0005-0000-0000-00007A090000}"/>
    <cellStyle name="Saída" xfId="781" xr:uid="{00000000-0005-0000-0000-00007B090000}"/>
    <cellStyle name="Salida" xfId="7" builtinId="21" customBuiltin="1"/>
    <cellStyle name="Standaard_Contractafspraken GM 2004 vs 2003" xfId="51" xr:uid="{00000000-0005-0000-0000-00007D090000}"/>
    <cellStyle name="Standard_2b. Press PiB &amp; Aff." xfId="142" xr:uid="{00000000-0005-0000-0000-00007E090000}"/>
    <cellStyle name="Style 1" xfId="34" xr:uid="{00000000-0005-0000-0000-000080090000}"/>
    <cellStyle name="Style 1 2" xfId="143" xr:uid="{00000000-0005-0000-0000-000081090000}"/>
    <cellStyle name="Style 1 2 2" xfId="144" xr:uid="{00000000-0005-0000-0000-000082090000}"/>
    <cellStyle name="Style 1 2_Market Performance" xfId="782" xr:uid="{00000000-0005-0000-0000-000083090000}"/>
    <cellStyle name="Style 1 3" xfId="1068" xr:uid="{00000000-0005-0000-0000-000084090000}"/>
    <cellStyle name="SUBTOTAL" xfId="783" xr:uid="{00000000-0005-0000-0000-000085090000}"/>
    <cellStyle name="Texto de advertencia" xfId="10" builtinId="11" customBuiltin="1"/>
    <cellStyle name="Texto de Aviso" xfId="784" xr:uid="{00000000-0005-0000-0000-000087090000}"/>
    <cellStyle name="Texto explicativo 2" xfId="2496" xr:uid="{00000000-0005-0000-0000-000089090000}"/>
    <cellStyle name="Texto Explicativo 3" xfId="785" xr:uid="{00000000-0005-0000-0000-000088090000}"/>
    <cellStyle name="Title 2" xfId="145" xr:uid="{00000000-0005-0000-0000-00008A090000}"/>
    <cellStyle name="Titolo_Italy saving ricevuto da Int." xfId="786" xr:uid="{00000000-0005-0000-0000-00008B090000}"/>
    <cellStyle name="Título 2" xfId="3" builtinId="17" customBuiltin="1"/>
    <cellStyle name="Título 3" xfId="4" builtinId="18" customBuiltin="1"/>
    <cellStyle name="Título 4" xfId="2491" xr:uid="{00000000-0005-0000-0000-00008F090000}"/>
    <cellStyle name="Título 5" xfId="787" xr:uid="{00000000-0005-0000-0000-00008C090000}"/>
    <cellStyle name="Total" xfId="12" builtinId="25" customBuiltin="1"/>
    <cellStyle name="Total 2" xfId="146" xr:uid="{00000000-0005-0000-0000-000091090000}"/>
    <cellStyle name="Unprot" xfId="788" xr:uid="{00000000-0005-0000-0000-000092090000}"/>
    <cellStyle name="Unprot$" xfId="789" xr:uid="{00000000-0005-0000-0000-000093090000}"/>
    <cellStyle name="Unprot_CurrencySKorea" xfId="790" xr:uid="{00000000-0005-0000-0000-000094090000}"/>
    <cellStyle name="Unprotect" xfId="791" xr:uid="{00000000-0005-0000-0000-000095090000}"/>
    <cellStyle name="Verificar Célula" xfId="792" xr:uid="{00000000-0005-0000-0000-000096090000}"/>
    <cellStyle name="Währung [0]_SCA2000" xfId="793" xr:uid="{00000000-0005-0000-0000-000097090000}"/>
    <cellStyle name="Währung_SCA2000" xfId="794" xr:uid="{00000000-0005-0000-0000-000098090000}"/>
    <cellStyle name="Warning Text 2" xfId="147" xr:uid="{00000000-0005-0000-0000-000099090000}"/>
    <cellStyle name="Обычный_TV Cost Data" xfId="795" xr:uid="{00000000-0005-0000-0000-00009A090000}"/>
    <cellStyle name="뒤에 오는 하이퍼링크_사업계획서(3안사업계획)" xfId="796" xr:uid="{00000000-0005-0000-0000-00009B090000}"/>
    <cellStyle name="똿뗦먛귟 [0.00]_PRODUCT DETAIL Q1" xfId="797" xr:uid="{00000000-0005-0000-0000-00009C090000}"/>
    <cellStyle name="똿뗦먛귟_PRODUCT DETAIL Q1" xfId="798" xr:uid="{00000000-0005-0000-0000-00009D090000}"/>
    <cellStyle name="믅됞 [0.00]_PRODUCT DETAIL Q1" xfId="799" xr:uid="{00000000-0005-0000-0000-00009E090000}"/>
    <cellStyle name="믅됞_PRODUCT DETAIL Q1" xfId="800" xr:uid="{00000000-0005-0000-0000-00009F090000}"/>
    <cellStyle name="뷭?_BOOKSHIP" xfId="801" xr:uid="{00000000-0005-0000-0000-0000A0090000}"/>
    <cellStyle name="자리수0" xfId="802" xr:uid="{00000000-0005-0000-0000-0000A1090000}"/>
    <cellStyle name="지정되지 않음" xfId="803" xr:uid="{00000000-0005-0000-0000-0000A2090000}"/>
    <cellStyle name="콤마 [0]_  종  합  " xfId="804" xr:uid="{00000000-0005-0000-0000-0000A3090000}"/>
    <cellStyle name="콤마_  종  합  " xfId="805" xr:uid="{00000000-0005-0000-0000-0000A4090000}"/>
    <cellStyle name="화폐기호0" xfId="806" xr:uid="{00000000-0005-0000-0000-0000A5090000}"/>
    <cellStyle name="一般_30&quot; SH" xfId="807" xr:uid="{00000000-0005-0000-0000-0000A6090000}"/>
    <cellStyle name="千位分隔 2" xfId="808" xr:uid="{00000000-0005-0000-0000-0000A7090000}"/>
    <cellStyle name="千位分隔 2 2" xfId="832" xr:uid="{00000000-0005-0000-0000-0000A8090000}"/>
    <cellStyle name="千位分隔 2 2 2" xfId="866" xr:uid="{00000000-0005-0000-0000-0000A9090000}"/>
    <cellStyle name="千位分隔 2 2 2 2" xfId="1186" xr:uid="{00000000-0005-0000-0000-0000AA090000}"/>
    <cellStyle name="千位分隔 2 2 2 2 2" xfId="1661" xr:uid="{00000000-0005-0000-0000-0000AB090000}"/>
    <cellStyle name="千位分隔 2 2 2 2 2 2" xfId="2434" xr:uid="{00000000-0005-0000-0000-0000AC090000}"/>
    <cellStyle name="千位分隔 2 2 2 2 3" xfId="1459" xr:uid="{00000000-0005-0000-0000-0000AD090000}"/>
    <cellStyle name="千位分隔 2 2 2 2 3 2" xfId="2234" xr:uid="{00000000-0005-0000-0000-0000AE090000}"/>
    <cellStyle name="千位分隔 2 2 2 2 4" xfId="1989" xr:uid="{00000000-0005-0000-0000-0000AF090000}"/>
    <cellStyle name="千位分隔 2 2 2 3" xfId="981" xr:uid="{00000000-0005-0000-0000-0000B0090000}"/>
    <cellStyle name="千位分隔 2 2 2 3 2" xfId="1584" xr:uid="{00000000-0005-0000-0000-0000B1090000}"/>
    <cellStyle name="千位分隔 2 2 2 3 2 2" xfId="2357" xr:uid="{00000000-0005-0000-0000-0000B2090000}"/>
    <cellStyle name="千位分隔 2 2 2 3 3" xfId="1814" xr:uid="{00000000-0005-0000-0000-0000B3090000}"/>
    <cellStyle name="千位分隔 2 2 2 4" xfId="1553" xr:uid="{00000000-0005-0000-0000-0000B4090000}"/>
    <cellStyle name="千位分隔 2 2 2 4 2" xfId="2327" xr:uid="{00000000-0005-0000-0000-0000B5090000}"/>
    <cellStyle name="千位分隔 2 2 2 5" xfId="1382" xr:uid="{00000000-0005-0000-0000-0000B6090000}"/>
    <cellStyle name="千位分隔 2 2 2 5 2" xfId="2157" xr:uid="{00000000-0005-0000-0000-0000B7090000}"/>
    <cellStyle name="千位分隔 2 2 2 6" xfId="1776" xr:uid="{00000000-0005-0000-0000-0000B8090000}"/>
    <cellStyle name="千位分隔 2 2 3" xfId="1085" xr:uid="{00000000-0005-0000-0000-0000B9090000}"/>
    <cellStyle name="千位分隔 2 2 3 2" xfId="1260" xr:uid="{00000000-0005-0000-0000-0000BA090000}"/>
    <cellStyle name="千位分隔 2 2 3 2 2" xfId="1691" xr:uid="{00000000-0005-0000-0000-0000BB090000}"/>
    <cellStyle name="千位分隔 2 2 3 2 2 2" xfId="2464" xr:uid="{00000000-0005-0000-0000-0000BC090000}"/>
    <cellStyle name="千位分隔 2 2 3 2 3" xfId="1489" xr:uid="{00000000-0005-0000-0000-0000BD090000}"/>
    <cellStyle name="千位分隔 2 2 3 2 3 2" xfId="2264" xr:uid="{00000000-0005-0000-0000-0000BE090000}"/>
    <cellStyle name="千位分隔 2 2 3 2 4" xfId="2063" xr:uid="{00000000-0005-0000-0000-0000BF090000}"/>
    <cellStyle name="千位分隔 2 2 3 3" xfId="1614" xr:uid="{00000000-0005-0000-0000-0000C0090000}"/>
    <cellStyle name="千位分隔 2 2 3 3 2" xfId="2387" xr:uid="{00000000-0005-0000-0000-0000C1090000}"/>
    <cellStyle name="千位分隔 2 2 3 4" xfId="1412" xr:uid="{00000000-0005-0000-0000-0000C2090000}"/>
    <cellStyle name="千位分隔 2 2 3 4 2" xfId="2187" xr:uid="{00000000-0005-0000-0000-0000C3090000}"/>
    <cellStyle name="千位分隔 2 2 3 5" xfId="1888" xr:uid="{00000000-0005-0000-0000-0000C4090000}"/>
    <cellStyle name="千位分隔 2 2 4" xfId="1159" xr:uid="{00000000-0005-0000-0000-0000C5090000}"/>
    <cellStyle name="千位分隔 2 2 4 2" xfId="1644" xr:uid="{00000000-0005-0000-0000-0000C6090000}"/>
    <cellStyle name="千位分隔 2 2 4 2 2" xfId="2417" xr:uid="{00000000-0005-0000-0000-0000C7090000}"/>
    <cellStyle name="千位分隔 2 2 4 3" xfId="1442" xr:uid="{00000000-0005-0000-0000-0000C8090000}"/>
    <cellStyle name="千位分隔 2 2 4 3 2" xfId="2217" xr:uid="{00000000-0005-0000-0000-0000C9090000}"/>
    <cellStyle name="千位分隔 2 2 4 4" xfId="1962" xr:uid="{00000000-0005-0000-0000-0000CA090000}"/>
    <cellStyle name="千位分隔 2 2 5" xfId="923" xr:uid="{00000000-0005-0000-0000-0000CB090000}"/>
    <cellStyle name="千位分隔 2 2 5 2" xfId="1567" xr:uid="{00000000-0005-0000-0000-0000CC090000}"/>
    <cellStyle name="千位分隔 2 2 5 2 2" xfId="2340" xr:uid="{00000000-0005-0000-0000-0000CD090000}"/>
    <cellStyle name="千位分隔 2 2 5 3" xfId="1790" xr:uid="{00000000-0005-0000-0000-0000CE090000}"/>
    <cellStyle name="千位分隔 2 2 6" xfId="1525" xr:uid="{00000000-0005-0000-0000-0000CF090000}"/>
    <cellStyle name="千位分隔 2 2 6 2" xfId="2299" xr:uid="{00000000-0005-0000-0000-0000D0090000}"/>
    <cellStyle name="千位分隔 2 2 7" xfId="1365" xr:uid="{00000000-0005-0000-0000-0000D1090000}"/>
    <cellStyle name="千位分隔 2 2 7 2" xfId="2140" xr:uid="{00000000-0005-0000-0000-0000D2090000}"/>
    <cellStyle name="千位分隔 2 2 8" xfId="1742" xr:uid="{00000000-0005-0000-0000-0000D3090000}"/>
    <cellStyle name="千位分隔 2 3" xfId="849" xr:uid="{00000000-0005-0000-0000-0000D4090000}"/>
    <cellStyle name="千位分隔 2 3 2" xfId="1539" xr:uid="{00000000-0005-0000-0000-0000D5090000}"/>
    <cellStyle name="千位分隔 2 3 2 2" xfId="2313" xr:uid="{00000000-0005-0000-0000-0000D6090000}"/>
    <cellStyle name="千位分隔 2 3 3" xfId="1759" xr:uid="{00000000-0005-0000-0000-0000D7090000}"/>
    <cellStyle name="常规 2" xfId="809" xr:uid="{00000000-0005-0000-0000-0000D8090000}"/>
    <cellStyle name="常规 3" xfId="810" xr:uid="{00000000-0005-0000-0000-0000D9090000}"/>
    <cellStyle name="常规_07北京CPRP TABLE雅诗兰黛(070803)" xfId="811" xr:uid="{00000000-0005-0000-0000-0000DA090000}"/>
    <cellStyle name="桁?切り_OCN Feature List Revised" xfId="812" xr:uid="{00000000-0005-0000-0000-0000DB090000}"/>
    <cellStyle name="標準_OCN Feature List Revised" xfId="813" xr:uid="{00000000-0005-0000-0000-0000DC090000}"/>
    <cellStyle name="百分比 2" xfId="814" xr:uid="{00000000-0005-0000-0000-0000DD09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oneomgeu.sharepoint.com/sites/investment/Accountability/Renault%20Nissan/Mexico/2018/Nissan%20Infiniti%20FY18/Q1/Mexico%20Nissan%20Infiniti%20FY18%20Q1%2009.07.18%20Mexico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op Down Menus"/>
      <sheetName val="Quick Links"/>
      <sheetName val="Template Menu"/>
      <sheetName val="Colour Coding"/>
      <sheetName val="Overall Summary"/>
      <sheetName val="Context"/>
      <sheetName val="Budget &amp; Market Inflation"/>
      <sheetName val="TV Baseline &amp; Normalisation"/>
      <sheetName val="TV Seasonality"/>
      <sheetName val="TV Data"/>
      <sheetName val="TV Pivot"/>
      <sheetName val="TV Late Booking"/>
      <sheetName val="Print Baseline &amp; Normalisation"/>
      <sheetName val="Print Data"/>
      <sheetName val="Print Pivot"/>
      <sheetName val="OOH Baseline &amp; Normalisation"/>
      <sheetName val="OOH Data"/>
      <sheetName val="OOH Pivot"/>
      <sheetName val="Radio Baseline &amp; Normalisation"/>
      <sheetName val="Radio Data"/>
      <sheetName val="Radio Pivot"/>
      <sheetName val="Online Baseline &amp; Normalisation"/>
      <sheetName val="Online Variables"/>
      <sheetName val="Online Data"/>
      <sheetName val="Online Campaign"/>
      <sheetName val="Online Pivot"/>
      <sheetName val="Cinema Baseline &amp; Normalisation"/>
      <sheetName val="Cinema Data"/>
      <sheetName val="Additional Value"/>
      <sheetName val="Macro Button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A43E0D-37A6-4E0E-9FEE-D6E1E6C5D97D}">
  <sheetPr codeName="Hoja1"/>
  <dimension ref="A1:AC26"/>
  <sheetViews>
    <sheetView tabSelected="1" topLeftCell="R1" zoomScale="66" zoomScaleNormal="66" workbookViewId="0">
      <selection activeCell="AB22" sqref="AB22"/>
    </sheetView>
  </sheetViews>
  <sheetFormatPr baseColWidth="10" defaultRowHeight="15"/>
  <cols>
    <col min="28" max="28" width="21.85546875" bestFit="1" customWidth="1"/>
  </cols>
  <sheetData>
    <row r="1" spans="1:29" s="8" customFormat="1">
      <c r="H1" s="31"/>
      <c r="I1" s="31"/>
      <c r="J1" s="31"/>
      <c r="K1" s="31"/>
      <c r="L1" s="31"/>
      <c r="M1" s="31"/>
      <c r="N1" s="31"/>
      <c r="O1" s="31"/>
      <c r="R1" s="2"/>
      <c r="T1" s="9"/>
      <c r="W1" s="31"/>
      <c r="AA1" s="2"/>
      <c r="AB1" s="31"/>
    </row>
    <row r="2" spans="1:29" ht="38.25" customHeight="1">
      <c r="A2" s="12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s="12" t="s">
        <v>8</v>
      </c>
      <c r="J2" s="12" t="s">
        <v>9</v>
      </c>
      <c r="K2" s="12" t="s">
        <v>10</v>
      </c>
      <c r="L2" s="12" t="s">
        <v>11</v>
      </c>
      <c r="M2" s="12" t="s">
        <v>12</v>
      </c>
      <c r="N2" s="11" t="s">
        <v>13</v>
      </c>
      <c r="O2" s="11" t="s">
        <v>14</v>
      </c>
      <c r="P2" s="12" t="s">
        <v>15</v>
      </c>
      <c r="Q2" s="13" t="s">
        <v>16</v>
      </c>
      <c r="R2" s="14" t="s">
        <v>17</v>
      </c>
      <c r="S2" s="11" t="s">
        <v>18</v>
      </c>
      <c r="T2" s="11" t="s">
        <v>19</v>
      </c>
      <c r="U2" s="11" t="s">
        <v>20</v>
      </c>
      <c r="V2" s="11" t="s">
        <v>21</v>
      </c>
      <c r="W2" s="11" t="s">
        <v>86</v>
      </c>
      <c r="X2" s="11" t="s">
        <v>22</v>
      </c>
      <c r="Y2" s="11" t="s">
        <v>23</v>
      </c>
      <c r="Z2" s="15" t="s">
        <v>24</v>
      </c>
      <c r="AA2" s="15" t="s">
        <v>25</v>
      </c>
      <c r="AB2" s="5" t="s">
        <v>26</v>
      </c>
      <c r="AC2" s="4" t="s">
        <v>84</v>
      </c>
    </row>
    <row r="3" spans="1:29" s="9" customFormat="1">
      <c r="A3" s="7" t="s">
        <v>27</v>
      </c>
      <c r="B3" s="25">
        <v>1</v>
      </c>
      <c r="C3" s="19" t="s">
        <v>75</v>
      </c>
      <c r="D3" s="19" t="s">
        <v>75</v>
      </c>
      <c r="E3" s="29" t="s">
        <v>75</v>
      </c>
      <c r="F3" s="19" t="s">
        <v>76</v>
      </c>
      <c r="G3" s="19" t="s">
        <v>76</v>
      </c>
      <c r="H3" s="19" t="s">
        <v>28</v>
      </c>
      <c r="I3" s="19" t="s">
        <v>43</v>
      </c>
      <c r="J3" s="19" t="s">
        <v>30</v>
      </c>
      <c r="K3" s="28" t="s">
        <v>31</v>
      </c>
      <c r="L3" s="19" t="s">
        <v>32</v>
      </c>
      <c r="M3" s="19" t="s">
        <v>33</v>
      </c>
      <c r="N3" s="16" t="s">
        <v>34</v>
      </c>
      <c r="O3" s="21" t="s">
        <v>35</v>
      </c>
      <c r="P3" s="26">
        <v>43191</v>
      </c>
      <c r="Q3" s="27" t="s">
        <v>36</v>
      </c>
      <c r="R3" s="21">
        <v>30</v>
      </c>
      <c r="S3" s="19" t="s">
        <v>37</v>
      </c>
      <c r="T3" s="19" t="s">
        <v>38</v>
      </c>
      <c r="U3" s="19"/>
      <c r="V3" s="19"/>
      <c r="W3" s="1">
        <v>10762.5</v>
      </c>
      <c r="X3" s="19" t="s">
        <v>80</v>
      </c>
      <c r="Y3" s="21" t="s">
        <v>35</v>
      </c>
      <c r="Z3" s="23" t="b">
        <f t="shared" ref="Z3:Z24" si="0">Y3=O3</f>
        <v>1</v>
      </c>
      <c r="AA3" s="18">
        <v>13</v>
      </c>
      <c r="AB3" s="18">
        <v>13</v>
      </c>
    </row>
    <row r="4" spans="1:29" s="9" customFormat="1">
      <c r="A4" s="7" t="s">
        <v>27</v>
      </c>
      <c r="B4" s="25">
        <v>2</v>
      </c>
      <c r="C4" s="19" t="s">
        <v>75</v>
      </c>
      <c r="D4" s="19" t="s">
        <v>75</v>
      </c>
      <c r="E4" s="29" t="s">
        <v>75</v>
      </c>
      <c r="F4" s="19" t="s">
        <v>76</v>
      </c>
      <c r="G4" s="19" t="s">
        <v>76</v>
      </c>
      <c r="H4" s="19" t="s">
        <v>28</v>
      </c>
      <c r="I4" s="19" t="s">
        <v>43</v>
      </c>
      <c r="J4" s="19" t="s">
        <v>30</v>
      </c>
      <c r="K4" s="28" t="s">
        <v>31</v>
      </c>
      <c r="L4" s="19" t="s">
        <v>32</v>
      </c>
      <c r="M4" s="19" t="s">
        <v>33</v>
      </c>
      <c r="N4" s="16" t="s">
        <v>34</v>
      </c>
      <c r="O4" s="21" t="s">
        <v>35</v>
      </c>
      <c r="P4" s="26">
        <v>43191</v>
      </c>
      <c r="Q4" s="27" t="s">
        <v>36</v>
      </c>
      <c r="R4" s="21">
        <v>30</v>
      </c>
      <c r="S4" s="19" t="s">
        <v>37</v>
      </c>
      <c r="T4" s="19" t="s">
        <v>38</v>
      </c>
      <c r="U4" s="19"/>
      <c r="V4" s="19"/>
      <c r="W4" s="1">
        <v>10050</v>
      </c>
      <c r="X4" s="19" t="s">
        <v>80</v>
      </c>
      <c r="Y4" s="21" t="s">
        <v>35</v>
      </c>
      <c r="Z4" s="23" t="b">
        <f t="shared" si="0"/>
        <v>1</v>
      </c>
      <c r="AA4" s="18">
        <v>13</v>
      </c>
      <c r="AB4" s="18">
        <v>13</v>
      </c>
    </row>
    <row r="5" spans="1:29" s="9" customFormat="1">
      <c r="A5" s="7" t="s">
        <v>27</v>
      </c>
      <c r="B5" s="25">
        <v>3</v>
      </c>
      <c r="C5" s="19" t="s">
        <v>75</v>
      </c>
      <c r="D5" s="19" t="s">
        <v>75</v>
      </c>
      <c r="E5" s="29" t="s">
        <v>75</v>
      </c>
      <c r="F5" s="19" t="s">
        <v>76</v>
      </c>
      <c r="G5" s="19" t="s">
        <v>76</v>
      </c>
      <c r="H5" s="19" t="s">
        <v>28</v>
      </c>
      <c r="I5" s="19" t="s">
        <v>43</v>
      </c>
      <c r="J5" s="19" t="s">
        <v>30</v>
      </c>
      <c r="K5" s="28" t="s">
        <v>41</v>
      </c>
      <c r="L5" s="19" t="s">
        <v>32</v>
      </c>
      <c r="M5" s="19" t="s">
        <v>33</v>
      </c>
      <c r="N5" s="16" t="s">
        <v>34</v>
      </c>
      <c r="O5" s="21" t="s">
        <v>35</v>
      </c>
      <c r="P5" s="26">
        <v>43191</v>
      </c>
      <c r="Q5" s="27" t="s">
        <v>36</v>
      </c>
      <c r="R5" s="21">
        <v>30</v>
      </c>
      <c r="S5" s="19" t="s">
        <v>37</v>
      </c>
      <c r="T5" s="19" t="s">
        <v>38</v>
      </c>
      <c r="U5" s="19"/>
      <c r="V5" s="19"/>
      <c r="W5" s="1">
        <v>10050</v>
      </c>
      <c r="X5" s="19" t="s">
        <v>80</v>
      </c>
      <c r="Y5" s="21" t="s">
        <v>35</v>
      </c>
      <c r="Z5" s="23" t="b">
        <f t="shared" si="0"/>
        <v>1</v>
      </c>
      <c r="AA5" s="18">
        <v>37</v>
      </c>
      <c r="AB5" s="18">
        <v>37</v>
      </c>
    </row>
    <row r="6" spans="1:29" s="9" customFormat="1">
      <c r="A6" s="7" t="s">
        <v>27</v>
      </c>
      <c r="B6" s="25">
        <v>4</v>
      </c>
      <c r="C6" s="19" t="s">
        <v>75</v>
      </c>
      <c r="D6" s="19" t="s">
        <v>75</v>
      </c>
      <c r="E6" s="29" t="s">
        <v>75</v>
      </c>
      <c r="F6" s="19" t="s">
        <v>76</v>
      </c>
      <c r="G6" s="19" t="s">
        <v>76</v>
      </c>
      <c r="H6" s="19" t="s">
        <v>28</v>
      </c>
      <c r="I6" s="19" t="s">
        <v>43</v>
      </c>
      <c r="J6" s="19" t="s">
        <v>30</v>
      </c>
      <c r="K6" s="28" t="s">
        <v>42</v>
      </c>
      <c r="L6" s="19" t="s">
        <v>32</v>
      </c>
      <c r="M6" s="19" t="s">
        <v>33</v>
      </c>
      <c r="N6" s="16" t="s">
        <v>34</v>
      </c>
      <c r="O6" s="21" t="s">
        <v>35</v>
      </c>
      <c r="P6" s="26">
        <v>43191</v>
      </c>
      <c r="Q6" s="27" t="s">
        <v>36</v>
      </c>
      <c r="R6" s="21">
        <v>30</v>
      </c>
      <c r="S6" s="19" t="s">
        <v>37</v>
      </c>
      <c r="T6" s="19" t="s">
        <v>38</v>
      </c>
      <c r="U6" s="19"/>
      <c r="V6" s="19"/>
      <c r="W6" s="1">
        <v>3500</v>
      </c>
      <c r="X6" s="19" t="s">
        <v>80</v>
      </c>
      <c r="Y6" s="21" t="s">
        <v>35</v>
      </c>
      <c r="Z6" s="23" t="b">
        <f t="shared" si="0"/>
        <v>1</v>
      </c>
      <c r="AA6" s="18">
        <v>31</v>
      </c>
      <c r="AB6" s="18">
        <v>31.000000000000004</v>
      </c>
    </row>
    <row r="7" spans="1:29" s="9" customFormat="1" ht="26.25">
      <c r="A7" s="7" t="s">
        <v>27</v>
      </c>
      <c r="B7" s="25">
        <v>5</v>
      </c>
      <c r="C7" s="19" t="s">
        <v>75</v>
      </c>
      <c r="D7" s="19" t="s">
        <v>75</v>
      </c>
      <c r="E7" s="29" t="s">
        <v>75</v>
      </c>
      <c r="F7" s="19" t="s">
        <v>76</v>
      </c>
      <c r="G7" s="19" t="s">
        <v>76</v>
      </c>
      <c r="H7" s="19" t="s">
        <v>28</v>
      </c>
      <c r="I7" s="10" t="s">
        <v>44</v>
      </c>
      <c r="J7" s="19" t="s">
        <v>30</v>
      </c>
      <c r="K7" s="17" t="s">
        <v>41</v>
      </c>
      <c r="L7" s="19" t="s">
        <v>32</v>
      </c>
      <c r="M7" s="19" t="s">
        <v>33</v>
      </c>
      <c r="N7" s="16" t="s">
        <v>34</v>
      </c>
      <c r="O7" s="21" t="s">
        <v>35</v>
      </c>
      <c r="P7" s="26">
        <v>43191</v>
      </c>
      <c r="Q7" s="27" t="s">
        <v>36</v>
      </c>
      <c r="R7" s="21">
        <v>30</v>
      </c>
      <c r="S7" s="19" t="s">
        <v>37</v>
      </c>
      <c r="T7" s="19" t="s">
        <v>38</v>
      </c>
      <c r="U7" s="19"/>
      <c r="V7" s="19"/>
      <c r="W7" s="1">
        <v>5250</v>
      </c>
      <c r="X7" s="19" t="s">
        <v>80</v>
      </c>
      <c r="Y7" s="21" t="s">
        <v>35</v>
      </c>
      <c r="Z7" s="23" t="b">
        <f t="shared" si="0"/>
        <v>1</v>
      </c>
      <c r="AA7" s="18">
        <v>39</v>
      </c>
      <c r="AB7" s="18">
        <v>39</v>
      </c>
    </row>
    <row r="8" spans="1:29" s="9" customFormat="1" ht="26.25">
      <c r="A8" s="7" t="s">
        <v>27</v>
      </c>
      <c r="B8" s="25">
        <v>6</v>
      </c>
      <c r="C8" s="19" t="s">
        <v>75</v>
      </c>
      <c r="D8" s="19" t="s">
        <v>75</v>
      </c>
      <c r="E8" s="29" t="s">
        <v>75</v>
      </c>
      <c r="F8" s="19" t="s">
        <v>76</v>
      </c>
      <c r="G8" s="19" t="s">
        <v>76</v>
      </c>
      <c r="H8" s="19" t="s">
        <v>28</v>
      </c>
      <c r="I8" s="10" t="s">
        <v>44</v>
      </c>
      <c r="J8" s="19" t="s">
        <v>30</v>
      </c>
      <c r="K8" s="17" t="s">
        <v>41</v>
      </c>
      <c r="L8" s="19" t="s">
        <v>32</v>
      </c>
      <c r="M8" s="19" t="s">
        <v>33</v>
      </c>
      <c r="N8" s="16" t="s">
        <v>34</v>
      </c>
      <c r="O8" s="21" t="s">
        <v>35</v>
      </c>
      <c r="P8" s="26">
        <v>43191</v>
      </c>
      <c r="Q8" s="27" t="s">
        <v>36</v>
      </c>
      <c r="R8" s="21">
        <v>30</v>
      </c>
      <c r="S8" s="19" t="s">
        <v>37</v>
      </c>
      <c r="T8" s="19" t="s">
        <v>38</v>
      </c>
      <c r="U8" s="19"/>
      <c r="V8" s="19"/>
      <c r="W8" s="1">
        <v>7175</v>
      </c>
      <c r="X8" s="19" t="s">
        <v>80</v>
      </c>
      <c r="Y8" s="21" t="s">
        <v>35</v>
      </c>
      <c r="Z8" s="23" t="b">
        <f t="shared" si="0"/>
        <v>1</v>
      </c>
      <c r="AA8" s="18">
        <v>26</v>
      </c>
      <c r="AB8" s="18">
        <v>26</v>
      </c>
    </row>
    <row r="9" spans="1:29" s="9" customFormat="1">
      <c r="A9" s="7" t="s">
        <v>27</v>
      </c>
      <c r="B9" s="25">
        <v>7</v>
      </c>
      <c r="C9" s="19" t="s">
        <v>75</v>
      </c>
      <c r="D9" s="19" t="s">
        <v>75</v>
      </c>
      <c r="E9" s="29" t="s">
        <v>75</v>
      </c>
      <c r="F9" s="19" t="s">
        <v>76</v>
      </c>
      <c r="G9" s="19" t="s">
        <v>76</v>
      </c>
      <c r="H9" s="19" t="s">
        <v>45</v>
      </c>
      <c r="I9" s="10" t="s">
        <v>44</v>
      </c>
      <c r="J9" s="19" t="s">
        <v>46</v>
      </c>
      <c r="K9" s="17" t="s">
        <v>47</v>
      </c>
      <c r="L9" s="19" t="s">
        <v>48</v>
      </c>
      <c r="M9" s="19" t="s">
        <v>49</v>
      </c>
      <c r="N9" s="16" t="s">
        <v>49</v>
      </c>
      <c r="O9" s="21" t="s">
        <v>35</v>
      </c>
      <c r="P9" s="26">
        <v>43191</v>
      </c>
      <c r="Q9" s="27" t="s">
        <v>50</v>
      </c>
      <c r="R9" s="21">
        <v>10</v>
      </c>
      <c r="S9" s="19" t="s">
        <v>37</v>
      </c>
      <c r="T9" s="19" t="s">
        <v>51</v>
      </c>
      <c r="U9" s="19" t="s">
        <v>52</v>
      </c>
      <c r="V9" s="19"/>
      <c r="W9" s="1">
        <v>10762.5</v>
      </c>
      <c r="X9" s="19" t="s">
        <v>80</v>
      </c>
      <c r="Y9" s="21" t="s">
        <v>35</v>
      </c>
      <c r="Z9" s="23" t="b">
        <f t="shared" si="0"/>
        <v>1</v>
      </c>
      <c r="AA9" s="18">
        <v>36</v>
      </c>
      <c r="AB9" s="18">
        <v>12</v>
      </c>
    </row>
    <row r="10" spans="1:29" s="9" customFormat="1">
      <c r="A10" s="7" t="s">
        <v>27</v>
      </c>
      <c r="B10" s="25">
        <v>8</v>
      </c>
      <c r="C10" s="19" t="s">
        <v>75</v>
      </c>
      <c r="D10" s="19" t="s">
        <v>75</v>
      </c>
      <c r="E10" s="29" t="s">
        <v>75</v>
      </c>
      <c r="F10" s="19" t="s">
        <v>76</v>
      </c>
      <c r="G10" s="19" t="s">
        <v>76</v>
      </c>
      <c r="H10" s="19" t="s">
        <v>45</v>
      </c>
      <c r="I10" s="10" t="s">
        <v>44</v>
      </c>
      <c r="J10" s="19" t="s">
        <v>46</v>
      </c>
      <c r="K10" s="17" t="s">
        <v>54</v>
      </c>
      <c r="L10" s="19" t="s">
        <v>48</v>
      </c>
      <c r="M10" s="19" t="s">
        <v>49</v>
      </c>
      <c r="N10" s="16" t="s">
        <v>49</v>
      </c>
      <c r="O10" s="21" t="s">
        <v>35</v>
      </c>
      <c r="P10" s="26">
        <v>43191</v>
      </c>
      <c r="Q10" s="27" t="s">
        <v>55</v>
      </c>
      <c r="R10" s="21">
        <v>30</v>
      </c>
      <c r="S10" s="19" t="s">
        <v>37</v>
      </c>
      <c r="T10" s="19" t="s">
        <v>51</v>
      </c>
      <c r="U10" s="19" t="s">
        <v>52</v>
      </c>
      <c r="V10" s="19"/>
      <c r="W10" s="1">
        <v>14006</v>
      </c>
      <c r="X10" s="19" t="s">
        <v>80</v>
      </c>
      <c r="Y10" s="21" t="s">
        <v>35</v>
      </c>
      <c r="Z10" s="23" t="b">
        <f t="shared" si="0"/>
        <v>1</v>
      </c>
      <c r="AA10" s="18">
        <v>31</v>
      </c>
      <c r="AB10" s="18">
        <v>31.000000000000004</v>
      </c>
    </row>
    <row r="11" spans="1:29" s="9" customFormat="1">
      <c r="A11" s="7" t="s">
        <v>27</v>
      </c>
      <c r="B11" s="25">
        <v>9</v>
      </c>
      <c r="C11" s="19" t="s">
        <v>75</v>
      </c>
      <c r="D11" s="19" t="s">
        <v>75</v>
      </c>
      <c r="E11" s="29" t="s">
        <v>75</v>
      </c>
      <c r="F11" s="19" t="s">
        <v>76</v>
      </c>
      <c r="G11" s="19" t="s">
        <v>76</v>
      </c>
      <c r="H11" s="19" t="s">
        <v>45</v>
      </c>
      <c r="I11" s="19" t="s">
        <v>43</v>
      </c>
      <c r="J11" s="19" t="s">
        <v>46</v>
      </c>
      <c r="K11" s="16" t="s">
        <v>54</v>
      </c>
      <c r="L11" s="19" t="s">
        <v>48</v>
      </c>
      <c r="M11" s="19" t="s">
        <v>49</v>
      </c>
      <c r="N11" s="16" t="s">
        <v>49</v>
      </c>
      <c r="O11" s="21" t="s">
        <v>35</v>
      </c>
      <c r="P11" s="26">
        <v>43191</v>
      </c>
      <c r="Q11" s="27" t="s">
        <v>50</v>
      </c>
      <c r="R11" s="21">
        <v>10</v>
      </c>
      <c r="S11" s="19" t="s">
        <v>37</v>
      </c>
      <c r="T11" s="19" t="s">
        <v>51</v>
      </c>
      <c r="U11" s="19" t="s">
        <v>52</v>
      </c>
      <c r="V11" s="19"/>
      <c r="W11" s="1">
        <v>210067</v>
      </c>
      <c r="X11" s="19" t="s">
        <v>80</v>
      </c>
      <c r="Y11" s="21" t="s">
        <v>35</v>
      </c>
      <c r="Z11" s="23" t="b">
        <f t="shared" si="0"/>
        <v>1</v>
      </c>
      <c r="AA11" s="18">
        <v>39</v>
      </c>
      <c r="AB11" s="18">
        <v>13</v>
      </c>
    </row>
    <row r="12" spans="1:29" s="9" customFormat="1">
      <c r="A12" s="7" t="s">
        <v>27</v>
      </c>
      <c r="B12" s="25">
        <v>10</v>
      </c>
      <c r="C12" s="19" t="s">
        <v>75</v>
      </c>
      <c r="D12" s="19" t="s">
        <v>75</v>
      </c>
      <c r="E12" s="29" t="s">
        <v>75</v>
      </c>
      <c r="F12" s="19" t="s">
        <v>76</v>
      </c>
      <c r="G12" s="19" t="s">
        <v>76</v>
      </c>
      <c r="H12" s="19" t="s">
        <v>45</v>
      </c>
      <c r="I12" s="19" t="s">
        <v>43</v>
      </c>
      <c r="J12" s="19" t="s">
        <v>56</v>
      </c>
      <c r="K12" s="16" t="s">
        <v>57</v>
      </c>
      <c r="L12" s="19" t="s">
        <v>48</v>
      </c>
      <c r="M12" s="19" t="s">
        <v>58</v>
      </c>
      <c r="N12" s="16" t="s">
        <v>59</v>
      </c>
      <c r="O12" s="21" t="s">
        <v>35</v>
      </c>
      <c r="P12" s="26">
        <v>43191</v>
      </c>
      <c r="Q12" s="27" t="s">
        <v>36</v>
      </c>
      <c r="R12" s="21">
        <v>30</v>
      </c>
      <c r="S12" s="19" t="s">
        <v>37</v>
      </c>
      <c r="T12" s="19" t="s">
        <v>38</v>
      </c>
      <c r="U12" s="19"/>
      <c r="V12" s="19"/>
      <c r="W12" s="1">
        <v>350045</v>
      </c>
      <c r="X12" s="19" t="s">
        <v>80</v>
      </c>
      <c r="Y12" s="21" t="s">
        <v>35</v>
      </c>
      <c r="Z12" s="23" t="b">
        <f t="shared" si="0"/>
        <v>1</v>
      </c>
      <c r="AA12" s="18">
        <v>26</v>
      </c>
      <c r="AB12" s="18">
        <v>26</v>
      </c>
    </row>
    <row r="13" spans="1:29" s="9" customFormat="1">
      <c r="A13" s="7" t="s">
        <v>27</v>
      </c>
      <c r="B13" s="25">
        <v>11</v>
      </c>
      <c r="C13" s="19" t="s">
        <v>75</v>
      </c>
      <c r="D13" s="19" t="s">
        <v>75</v>
      </c>
      <c r="E13" s="29" t="s">
        <v>75</v>
      </c>
      <c r="F13" s="19" t="s">
        <v>76</v>
      </c>
      <c r="G13" s="19" t="s">
        <v>76</v>
      </c>
      <c r="H13" s="19" t="s">
        <v>45</v>
      </c>
      <c r="I13" s="19" t="s">
        <v>43</v>
      </c>
      <c r="J13" s="19" t="s">
        <v>56</v>
      </c>
      <c r="K13" s="16" t="s">
        <v>42</v>
      </c>
      <c r="L13" s="19" t="s">
        <v>48</v>
      </c>
      <c r="M13" s="19" t="s">
        <v>58</v>
      </c>
      <c r="N13" s="16" t="s">
        <v>59</v>
      </c>
      <c r="O13" s="21" t="s">
        <v>35</v>
      </c>
      <c r="P13" s="26">
        <v>43191</v>
      </c>
      <c r="Q13" s="27" t="s">
        <v>36</v>
      </c>
      <c r="R13" s="21">
        <v>30</v>
      </c>
      <c r="S13" s="19" t="s">
        <v>37</v>
      </c>
      <c r="T13" s="19" t="s">
        <v>38</v>
      </c>
      <c r="U13" s="19"/>
      <c r="V13" s="19"/>
      <c r="W13" s="1">
        <v>5250</v>
      </c>
      <c r="X13" s="19" t="s">
        <v>80</v>
      </c>
      <c r="Y13" s="21" t="s">
        <v>35</v>
      </c>
      <c r="Z13" s="23" t="b">
        <f t="shared" si="0"/>
        <v>1</v>
      </c>
      <c r="AA13" s="18">
        <v>36</v>
      </c>
      <c r="AB13" s="18">
        <v>36</v>
      </c>
    </row>
    <row r="14" spans="1:29" s="9" customFormat="1">
      <c r="A14" s="7" t="s">
        <v>27</v>
      </c>
      <c r="B14" s="25">
        <v>12</v>
      </c>
      <c r="C14" s="19" t="s">
        <v>75</v>
      </c>
      <c r="D14" s="19" t="s">
        <v>75</v>
      </c>
      <c r="E14" s="29" t="s">
        <v>75</v>
      </c>
      <c r="F14" s="19" t="s">
        <v>76</v>
      </c>
      <c r="G14" s="19" t="s">
        <v>76</v>
      </c>
      <c r="H14" s="19" t="s">
        <v>45</v>
      </c>
      <c r="I14" s="19" t="s">
        <v>43</v>
      </c>
      <c r="J14" s="19" t="s">
        <v>56</v>
      </c>
      <c r="K14" s="16" t="s">
        <v>42</v>
      </c>
      <c r="L14" s="19" t="s">
        <v>48</v>
      </c>
      <c r="M14" s="19" t="s">
        <v>58</v>
      </c>
      <c r="N14" s="16" t="s">
        <v>59</v>
      </c>
      <c r="O14" s="21" t="s">
        <v>35</v>
      </c>
      <c r="P14" s="26">
        <v>43191</v>
      </c>
      <c r="Q14" s="27" t="s">
        <v>36</v>
      </c>
      <c r="R14" s="21">
        <v>30</v>
      </c>
      <c r="S14" s="19" t="s">
        <v>37</v>
      </c>
      <c r="T14" s="19" t="s">
        <v>38</v>
      </c>
      <c r="U14" s="19"/>
      <c r="V14" s="19"/>
      <c r="W14" s="1">
        <v>97175</v>
      </c>
      <c r="X14" s="19" t="s">
        <v>80</v>
      </c>
      <c r="Y14" s="21" t="s">
        <v>35</v>
      </c>
      <c r="Z14" s="23" t="b">
        <f t="shared" si="0"/>
        <v>1</v>
      </c>
      <c r="AA14" s="18">
        <v>31</v>
      </c>
      <c r="AB14" s="18">
        <v>31.000000000000004</v>
      </c>
    </row>
    <row r="15" spans="1:29" s="9" customFormat="1">
      <c r="A15" s="7" t="s">
        <v>27</v>
      </c>
      <c r="B15" s="25">
        <v>13</v>
      </c>
      <c r="C15" s="19" t="s">
        <v>75</v>
      </c>
      <c r="D15" s="19" t="s">
        <v>75</v>
      </c>
      <c r="E15" s="29" t="s">
        <v>75</v>
      </c>
      <c r="F15" s="19" t="s">
        <v>76</v>
      </c>
      <c r="G15" s="19" t="s">
        <v>76</v>
      </c>
      <c r="H15" s="19" t="s">
        <v>45</v>
      </c>
      <c r="I15" s="10" t="s">
        <v>44</v>
      </c>
      <c r="J15" s="19" t="s">
        <v>46</v>
      </c>
      <c r="K15" s="28" t="s">
        <v>60</v>
      </c>
      <c r="L15" s="19" t="s">
        <v>48</v>
      </c>
      <c r="M15" s="16" t="s">
        <v>49</v>
      </c>
      <c r="N15" s="16" t="s">
        <v>49</v>
      </c>
      <c r="O15" s="21" t="s">
        <v>35</v>
      </c>
      <c r="P15" s="26">
        <v>43191</v>
      </c>
      <c r="Q15" s="27" t="s">
        <v>61</v>
      </c>
      <c r="R15" s="21">
        <v>30</v>
      </c>
      <c r="S15" s="19" t="s">
        <v>37</v>
      </c>
      <c r="T15" s="19" t="s">
        <v>51</v>
      </c>
      <c r="U15" s="19" t="s">
        <v>52</v>
      </c>
      <c r="V15" s="19"/>
      <c r="W15" s="1">
        <v>10762.5</v>
      </c>
      <c r="X15" s="19" t="s">
        <v>80</v>
      </c>
      <c r="Y15" s="21" t="s">
        <v>35</v>
      </c>
      <c r="Z15" s="23" t="b">
        <f t="shared" si="0"/>
        <v>1</v>
      </c>
      <c r="AA15" s="18">
        <v>13</v>
      </c>
      <c r="AB15" s="18">
        <v>13</v>
      </c>
    </row>
    <row r="16" spans="1:29" s="9" customFormat="1">
      <c r="A16" s="7" t="s">
        <v>27</v>
      </c>
      <c r="B16" s="25">
        <v>14</v>
      </c>
      <c r="C16" s="19" t="s">
        <v>75</v>
      </c>
      <c r="D16" s="19" t="s">
        <v>75</v>
      </c>
      <c r="E16" s="29" t="s">
        <v>75</v>
      </c>
      <c r="F16" s="19" t="s">
        <v>76</v>
      </c>
      <c r="G16" s="19" t="s">
        <v>76</v>
      </c>
      <c r="H16" s="19" t="s">
        <v>45</v>
      </c>
      <c r="I16" s="10" t="s">
        <v>44</v>
      </c>
      <c r="J16" s="19" t="s">
        <v>56</v>
      </c>
      <c r="K16" s="28" t="s">
        <v>62</v>
      </c>
      <c r="L16" s="19" t="s">
        <v>48</v>
      </c>
      <c r="M16" s="16" t="s">
        <v>58</v>
      </c>
      <c r="N16" s="16" t="s">
        <v>59</v>
      </c>
      <c r="O16" s="21" t="s">
        <v>35</v>
      </c>
      <c r="P16" s="26">
        <v>43191</v>
      </c>
      <c r="Q16" s="27" t="s">
        <v>36</v>
      </c>
      <c r="R16" s="21">
        <v>30</v>
      </c>
      <c r="S16" s="19" t="s">
        <v>37</v>
      </c>
      <c r="T16" s="19" t="s">
        <v>38</v>
      </c>
      <c r="U16" s="19"/>
      <c r="V16" s="19"/>
      <c r="W16" s="1">
        <v>4110</v>
      </c>
      <c r="X16" s="19" t="s">
        <v>80</v>
      </c>
      <c r="Y16" s="21" t="s">
        <v>35</v>
      </c>
      <c r="Z16" s="23" t="b">
        <f t="shared" si="0"/>
        <v>1</v>
      </c>
      <c r="AA16" s="18">
        <v>13</v>
      </c>
      <c r="AB16" s="18">
        <v>13</v>
      </c>
    </row>
    <row r="17" spans="1:28" s="9" customFormat="1">
      <c r="A17" s="7" t="s">
        <v>27</v>
      </c>
      <c r="B17" s="25">
        <v>15</v>
      </c>
      <c r="C17" s="19" t="s">
        <v>75</v>
      </c>
      <c r="D17" s="19" t="s">
        <v>75</v>
      </c>
      <c r="E17" s="29" t="s">
        <v>75</v>
      </c>
      <c r="F17" s="19" t="s">
        <v>76</v>
      </c>
      <c r="G17" s="19" t="s">
        <v>76</v>
      </c>
      <c r="H17" s="19" t="s">
        <v>45</v>
      </c>
      <c r="I17" s="10" t="s">
        <v>44</v>
      </c>
      <c r="J17" s="19" t="s">
        <v>46</v>
      </c>
      <c r="K17" s="28" t="s">
        <v>60</v>
      </c>
      <c r="L17" s="19" t="s">
        <v>48</v>
      </c>
      <c r="M17" s="16" t="s">
        <v>63</v>
      </c>
      <c r="N17" s="16" t="s">
        <v>64</v>
      </c>
      <c r="O17" s="21" t="s">
        <v>65</v>
      </c>
      <c r="P17" s="26">
        <v>43191</v>
      </c>
      <c r="Q17" s="27" t="s">
        <v>66</v>
      </c>
      <c r="R17" s="21">
        <v>10</v>
      </c>
      <c r="S17" s="19" t="s">
        <v>37</v>
      </c>
      <c r="T17" s="19" t="s">
        <v>51</v>
      </c>
      <c r="U17" s="19" t="s">
        <v>52</v>
      </c>
      <c r="V17" s="19"/>
      <c r="W17" s="1">
        <v>65617</v>
      </c>
      <c r="X17" s="19" t="s">
        <v>80</v>
      </c>
      <c r="Y17" s="21" t="s">
        <v>35</v>
      </c>
      <c r="Z17" s="23" t="b">
        <f t="shared" si="0"/>
        <v>0</v>
      </c>
      <c r="AA17" s="18">
        <v>37</v>
      </c>
      <c r="AB17" s="18">
        <v>12.333333333333334</v>
      </c>
    </row>
    <row r="18" spans="1:28" s="9" customFormat="1">
      <c r="A18" s="7" t="s">
        <v>27</v>
      </c>
      <c r="B18" s="25">
        <v>16</v>
      </c>
      <c r="C18" s="19" t="s">
        <v>75</v>
      </c>
      <c r="D18" s="19" t="s">
        <v>75</v>
      </c>
      <c r="E18" s="29" t="s">
        <v>75</v>
      </c>
      <c r="F18" s="19" t="s">
        <v>76</v>
      </c>
      <c r="G18" s="19" t="s">
        <v>76</v>
      </c>
      <c r="H18" s="19" t="s">
        <v>45</v>
      </c>
      <c r="I18" s="10" t="s">
        <v>44</v>
      </c>
      <c r="J18" s="19" t="s">
        <v>46</v>
      </c>
      <c r="K18" s="28" t="s">
        <v>60</v>
      </c>
      <c r="L18" s="19" t="s">
        <v>48</v>
      </c>
      <c r="M18" s="16" t="s">
        <v>63</v>
      </c>
      <c r="N18" s="16" t="s">
        <v>64</v>
      </c>
      <c r="O18" s="21" t="s">
        <v>65</v>
      </c>
      <c r="P18" s="26">
        <v>43191</v>
      </c>
      <c r="Q18" s="27" t="s">
        <v>66</v>
      </c>
      <c r="R18" s="21">
        <v>10</v>
      </c>
      <c r="S18" s="19" t="s">
        <v>37</v>
      </c>
      <c r="T18" s="19" t="s">
        <v>51</v>
      </c>
      <c r="U18" s="19" t="s">
        <v>52</v>
      </c>
      <c r="V18" s="19"/>
      <c r="W18" s="1">
        <v>8425.5</v>
      </c>
      <c r="X18" s="19" t="s">
        <v>80</v>
      </c>
      <c r="Y18" s="21" t="s">
        <v>35</v>
      </c>
      <c r="Z18" s="23" t="b">
        <f t="shared" si="0"/>
        <v>0</v>
      </c>
      <c r="AA18" s="18">
        <v>31</v>
      </c>
      <c r="AB18" s="18">
        <v>10.333333333333334</v>
      </c>
    </row>
    <row r="19" spans="1:28" s="9" customFormat="1">
      <c r="A19" s="7" t="s">
        <v>27</v>
      </c>
      <c r="B19" s="25">
        <v>17</v>
      </c>
      <c r="C19" s="19" t="s">
        <v>75</v>
      </c>
      <c r="D19" s="19" t="s">
        <v>75</v>
      </c>
      <c r="E19" s="29" t="s">
        <v>75</v>
      </c>
      <c r="F19" s="19" t="s">
        <v>76</v>
      </c>
      <c r="G19" s="19" t="s">
        <v>76</v>
      </c>
      <c r="H19" s="19" t="s">
        <v>45</v>
      </c>
      <c r="I19" s="10" t="s">
        <v>29</v>
      </c>
      <c r="J19" s="19" t="s">
        <v>56</v>
      </c>
      <c r="K19" s="16" t="s">
        <v>67</v>
      </c>
      <c r="L19" s="19" t="s">
        <v>48</v>
      </c>
      <c r="M19" s="16" t="s">
        <v>63</v>
      </c>
      <c r="N19" s="16" t="s">
        <v>64</v>
      </c>
      <c r="O19" s="21" t="s">
        <v>35</v>
      </c>
      <c r="P19" s="26">
        <v>43191</v>
      </c>
      <c r="Q19" s="27" t="s">
        <v>68</v>
      </c>
      <c r="R19" s="21">
        <v>60</v>
      </c>
      <c r="S19" s="19" t="s">
        <v>37</v>
      </c>
      <c r="T19" s="19" t="s">
        <v>51</v>
      </c>
      <c r="U19" s="19" t="s">
        <v>52</v>
      </c>
      <c r="V19" s="19"/>
      <c r="W19" s="1">
        <v>164456</v>
      </c>
      <c r="X19" s="19" t="s">
        <v>80</v>
      </c>
      <c r="Y19" s="21" t="s">
        <v>35</v>
      </c>
      <c r="Z19" s="23" t="b">
        <f t="shared" si="0"/>
        <v>1</v>
      </c>
      <c r="AA19" s="18">
        <v>39</v>
      </c>
      <c r="AB19" s="18">
        <v>78</v>
      </c>
    </row>
    <row r="20" spans="1:28" s="9" customFormat="1">
      <c r="A20" s="7" t="s">
        <v>27</v>
      </c>
      <c r="B20" s="25">
        <v>18</v>
      </c>
      <c r="C20" s="19" t="s">
        <v>75</v>
      </c>
      <c r="D20" s="19" t="s">
        <v>75</v>
      </c>
      <c r="E20" s="29" t="s">
        <v>75</v>
      </c>
      <c r="F20" s="19" t="s">
        <v>76</v>
      </c>
      <c r="G20" s="19" t="s">
        <v>76</v>
      </c>
      <c r="H20" s="19" t="s">
        <v>45</v>
      </c>
      <c r="I20" s="10" t="s">
        <v>44</v>
      </c>
      <c r="J20" s="19" t="s">
        <v>56</v>
      </c>
      <c r="K20" s="16" t="s">
        <v>67</v>
      </c>
      <c r="L20" s="19" t="s">
        <v>48</v>
      </c>
      <c r="M20" s="16" t="s">
        <v>63</v>
      </c>
      <c r="N20" s="16" t="s">
        <v>64</v>
      </c>
      <c r="O20" s="21" t="s">
        <v>35</v>
      </c>
      <c r="P20" s="26">
        <v>43191</v>
      </c>
      <c r="Q20" s="27" t="s">
        <v>36</v>
      </c>
      <c r="R20" s="21">
        <v>60</v>
      </c>
      <c r="S20" s="19" t="s">
        <v>37</v>
      </c>
      <c r="T20" s="19" t="s">
        <v>51</v>
      </c>
      <c r="U20" s="19" t="s">
        <v>52</v>
      </c>
      <c r="V20" s="19"/>
      <c r="W20" s="1">
        <v>13703</v>
      </c>
      <c r="X20" s="19" t="s">
        <v>80</v>
      </c>
      <c r="Y20" s="21" t="s">
        <v>35</v>
      </c>
      <c r="Z20" s="23" t="b">
        <f t="shared" si="0"/>
        <v>1</v>
      </c>
      <c r="AA20" s="18">
        <v>26</v>
      </c>
      <c r="AB20" s="18">
        <v>52</v>
      </c>
    </row>
    <row r="21" spans="1:28" s="9" customFormat="1">
      <c r="A21" s="7" t="s">
        <v>27</v>
      </c>
      <c r="B21" s="25">
        <v>19</v>
      </c>
      <c r="C21" s="19" t="s">
        <v>75</v>
      </c>
      <c r="D21" s="19" t="s">
        <v>75</v>
      </c>
      <c r="E21" s="29" t="s">
        <v>75</v>
      </c>
      <c r="F21" s="19" t="s">
        <v>76</v>
      </c>
      <c r="G21" s="19" t="s">
        <v>76</v>
      </c>
      <c r="H21" s="19" t="s">
        <v>45</v>
      </c>
      <c r="I21" s="10" t="s">
        <v>44</v>
      </c>
      <c r="J21" s="19" t="s">
        <v>56</v>
      </c>
      <c r="K21" s="16" t="s">
        <v>67</v>
      </c>
      <c r="L21" s="19" t="s">
        <v>48</v>
      </c>
      <c r="M21" s="16" t="s">
        <v>63</v>
      </c>
      <c r="N21" s="16" t="s">
        <v>64</v>
      </c>
      <c r="O21" s="21" t="s">
        <v>65</v>
      </c>
      <c r="P21" s="26">
        <v>43191</v>
      </c>
      <c r="Q21" s="27" t="s">
        <v>69</v>
      </c>
      <c r="R21" s="21">
        <v>60</v>
      </c>
      <c r="S21" s="19" t="s">
        <v>37</v>
      </c>
      <c r="T21" s="19" t="s">
        <v>51</v>
      </c>
      <c r="U21" s="19" t="s">
        <v>70</v>
      </c>
      <c r="V21" s="19"/>
      <c r="W21" s="1">
        <v>274021</v>
      </c>
      <c r="X21" s="19" t="s">
        <v>80</v>
      </c>
      <c r="Y21" s="21" t="s">
        <v>35</v>
      </c>
      <c r="Z21" s="23" t="b">
        <f t="shared" si="0"/>
        <v>0</v>
      </c>
      <c r="AA21" s="18">
        <v>36</v>
      </c>
      <c r="AB21" s="18">
        <v>72</v>
      </c>
    </row>
    <row r="22" spans="1:28" s="9" customFormat="1">
      <c r="A22" s="7" t="s">
        <v>27</v>
      </c>
      <c r="B22" s="25">
        <v>20</v>
      </c>
      <c r="C22" s="19" t="s">
        <v>75</v>
      </c>
      <c r="D22" s="19" t="s">
        <v>75</v>
      </c>
      <c r="E22" s="29" t="s">
        <v>75</v>
      </c>
      <c r="F22" s="19" t="s">
        <v>76</v>
      </c>
      <c r="G22" s="19" t="s">
        <v>76</v>
      </c>
      <c r="H22" s="19" t="s">
        <v>45</v>
      </c>
      <c r="I22" s="10" t="s">
        <v>44</v>
      </c>
      <c r="J22" s="19" t="s">
        <v>46</v>
      </c>
      <c r="K22" s="16" t="s">
        <v>60</v>
      </c>
      <c r="L22" s="19" t="s">
        <v>48</v>
      </c>
      <c r="M22" s="16" t="s">
        <v>49</v>
      </c>
      <c r="N22" s="16" t="s">
        <v>49</v>
      </c>
      <c r="O22" s="21" t="s">
        <v>35</v>
      </c>
      <c r="P22" s="26">
        <v>43191</v>
      </c>
      <c r="Q22" s="27" t="s">
        <v>55</v>
      </c>
      <c r="R22" s="21">
        <v>30</v>
      </c>
      <c r="S22" s="19" t="s">
        <v>37</v>
      </c>
      <c r="T22" s="19" t="s">
        <v>51</v>
      </c>
      <c r="U22" s="19" t="s">
        <v>52</v>
      </c>
      <c r="V22" s="19"/>
      <c r="W22" s="1">
        <v>411060</v>
      </c>
      <c r="X22" s="19" t="s">
        <v>80</v>
      </c>
      <c r="Y22" s="21" t="s">
        <v>35</v>
      </c>
      <c r="Z22" s="23" t="b">
        <f t="shared" si="0"/>
        <v>1</v>
      </c>
      <c r="AA22" s="18">
        <v>36</v>
      </c>
      <c r="AB22" s="18">
        <v>36</v>
      </c>
    </row>
    <row r="23" spans="1:28" s="9" customFormat="1">
      <c r="A23" s="7" t="s">
        <v>27</v>
      </c>
      <c r="B23" s="25">
        <v>21</v>
      </c>
      <c r="C23" s="19" t="s">
        <v>75</v>
      </c>
      <c r="D23" s="19" t="s">
        <v>75</v>
      </c>
      <c r="E23" s="29" t="s">
        <v>75</v>
      </c>
      <c r="F23" s="19" t="s">
        <v>76</v>
      </c>
      <c r="G23" s="19" t="s">
        <v>76</v>
      </c>
      <c r="H23" s="19" t="s">
        <v>45</v>
      </c>
      <c r="I23" s="19" t="s">
        <v>43</v>
      </c>
      <c r="J23" s="19" t="s">
        <v>56</v>
      </c>
      <c r="K23" s="16" t="s">
        <v>67</v>
      </c>
      <c r="L23" s="19" t="s">
        <v>48</v>
      </c>
      <c r="M23" s="19" t="s">
        <v>71</v>
      </c>
      <c r="N23" s="16" t="s">
        <v>72</v>
      </c>
      <c r="O23" s="21" t="s">
        <v>35</v>
      </c>
      <c r="P23" s="26">
        <v>43191</v>
      </c>
      <c r="Q23" s="27" t="s">
        <v>40</v>
      </c>
      <c r="R23" s="21" t="s">
        <v>40</v>
      </c>
      <c r="S23" s="19" t="s">
        <v>37</v>
      </c>
      <c r="T23" s="19" t="s">
        <v>51</v>
      </c>
      <c r="U23" s="19" t="s">
        <v>73</v>
      </c>
      <c r="V23" s="19" t="s">
        <v>74</v>
      </c>
      <c r="W23" s="1">
        <v>561790</v>
      </c>
      <c r="X23" s="19" t="s">
        <v>80</v>
      </c>
      <c r="Y23" s="21" t="s">
        <v>35</v>
      </c>
      <c r="Z23" s="23" t="b">
        <f t="shared" si="0"/>
        <v>1</v>
      </c>
      <c r="AA23" s="18">
        <v>39</v>
      </c>
      <c r="AB23" s="18" t="s">
        <v>40</v>
      </c>
    </row>
    <row r="24" spans="1:28" s="9" customFormat="1">
      <c r="A24" s="7" t="s">
        <v>27</v>
      </c>
      <c r="B24" s="25">
        <v>22</v>
      </c>
      <c r="C24" s="19" t="s">
        <v>75</v>
      </c>
      <c r="D24" s="19" t="s">
        <v>75</v>
      </c>
      <c r="E24" s="29" t="s">
        <v>75</v>
      </c>
      <c r="F24" s="19" t="s">
        <v>76</v>
      </c>
      <c r="G24" s="19" t="s">
        <v>76</v>
      </c>
      <c r="H24" s="19" t="s">
        <v>77</v>
      </c>
      <c r="I24" s="19" t="s">
        <v>43</v>
      </c>
      <c r="J24" s="19" t="s">
        <v>78</v>
      </c>
      <c r="K24" s="16" t="s">
        <v>81</v>
      </c>
      <c r="L24" s="19" t="s">
        <v>32</v>
      </c>
      <c r="M24" s="19" t="s">
        <v>33</v>
      </c>
      <c r="N24" s="16" t="s">
        <v>34</v>
      </c>
      <c r="O24" s="21" t="s">
        <v>35</v>
      </c>
      <c r="P24" s="26">
        <v>43221</v>
      </c>
      <c r="Q24" s="27" t="s">
        <v>79</v>
      </c>
      <c r="R24" s="21">
        <v>30</v>
      </c>
      <c r="S24" s="19" t="s">
        <v>37</v>
      </c>
      <c r="T24" s="19" t="s">
        <v>38</v>
      </c>
      <c r="U24" s="19"/>
      <c r="V24" s="19"/>
      <c r="W24" s="1">
        <v>82425.5</v>
      </c>
      <c r="X24" s="19" t="s">
        <v>80</v>
      </c>
      <c r="Y24" s="21" t="s">
        <v>35</v>
      </c>
      <c r="Z24" s="23" t="b">
        <f t="shared" si="0"/>
        <v>1</v>
      </c>
      <c r="AA24" s="18">
        <v>26</v>
      </c>
      <c r="AB24" s="18">
        <v>26</v>
      </c>
    </row>
    <row r="25" spans="1:28">
      <c r="A25" s="7" t="s">
        <v>27</v>
      </c>
      <c r="B25" s="25">
        <v>23</v>
      </c>
      <c r="C25" s="19" t="s">
        <v>75</v>
      </c>
      <c r="D25" s="19" t="s">
        <v>75</v>
      </c>
      <c r="E25" s="29" t="s">
        <v>75</v>
      </c>
      <c r="F25" s="19" t="s">
        <v>76</v>
      </c>
      <c r="G25" s="19" t="s">
        <v>76</v>
      </c>
      <c r="H25" s="19" t="s">
        <v>77</v>
      </c>
      <c r="I25" s="19" t="s">
        <v>43</v>
      </c>
      <c r="J25" s="19" t="s">
        <v>78</v>
      </c>
      <c r="K25" s="16" t="s">
        <v>81</v>
      </c>
      <c r="L25" s="19" t="s">
        <v>32</v>
      </c>
      <c r="M25" s="19" t="s">
        <v>33</v>
      </c>
      <c r="N25" s="16" t="s">
        <v>34</v>
      </c>
      <c r="O25" s="21" t="s">
        <v>35</v>
      </c>
      <c r="P25" s="26">
        <v>43222</v>
      </c>
      <c r="Q25" s="27" t="s">
        <v>82</v>
      </c>
      <c r="R25" s="21">
        <v>31</v>
      </c>
      <c r="S25" s="19" t="s">
        <v>37</v>
      </c>
      <c r="T25" s="19" t="s">
        <v>38</v>
      </c>
      <c r="U25" s="19"/>
      <c r="V25" s="19"/>
      <c r="W25" s="1">
        <v>411060</v>
      </c>
      <c r="X25" s="19" t="s">
        <v>80</v>
      </c>
      <c r="Y25" s="21" t="s">
        <v>35</v>
      </c>
      <c r="Z25" s="23" t="b">
        <f t="shared" ref="Z25:Z26" si="1">Y25=O25</f>
        <v>1</v>
      </c>
      <c r="AA25" s="18">
        <v>27</v>
      </c>
    </row>
    <row r="26" spans="1:28">
      <c r="A26" s="7" t="s">
        <v>27</v>
      </c>
      <c r="B26" s="25">
        <v>24</v>
      </c>
      <c r="C26" s="19" t="s">
        <v>75</v>
      </c>
      <c r="D26" s="19" t="s">
        <v>75</v>
      </c>
      <c r="E26" s="29" t="s">
        <v>75</v>
      </c>
      <c r="F26" s="19" t="s">
        <v>76</v>
      </c>
      <c r="G26" s="19" t="s">
        <v>76</v>
      </c>
      <c r="H26" s="19" t="s">
        <v>77</v>
      </c>
      <c r="I26" s="19" t="s">
        <v>29</v>
      </c>
      <c r="J26" s="19" t="s">
        <v>78</v>
      </c>
      <c r="K26" s="16" t="s">
        <v>81</v>
      </c>
      <c r="L26" s="19" t="s">
        <v>32</v>
      </c>
      <c r="M26" s="19" t="s">
        <v>33</v>
      </c>
      <c r="N26" s="16" t="s">
        <v>34</v>
      </c>
      <c r="O26" s="21" t="s">
        <v>35</v>
      </c>
      <c r="P26" s="26">
        <v>43223</v>
      </c>
      <c r="Q26" s="27" t="s">
        <v>83</v>
      </c>
      <c r="R26" s="21">
        <v>32</v>
      </c>
      <c r="S26" s="19" t="s">
        <v>37</v>
      </c>
      <c r="T26" s="19" t="s">
        <v>38</v>
      </c>
      <c r="U26" s="19"/>
      <c r="V26" s="19"/>
      <c r="W26" s="1">
        <v>8627.5</v>
      </c>
      <c r="X26" s="19" t="s">
        <v>80</v>
      </c>
      <c r="Y26" s="21" t="s">
        <v>35</v>
      </c>
      <c r="Z26" s="23" t="b">
        <f t="shared" si="1"/>
        <v>1</v>
      </c>
      <c r="AA26" s="18">
        <v>28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F3FDCD8-5FD4-422B-9740-84B8E0644B10}">
          <x14:formula1>
            <xm:f>'https://oneomgeu.sharepoint.com/sites/investment/Accountability/Renault Nissan/Mexico/2018/Nissan Infiniti FY18/Q1/[Mexico Nissan Infiniti FY18 Q1 09.07.18 Mexico.xlsb]Drop Down Menus'!#REF!</xm:f>
          </x14:formula1>
          <xm:sqref>S3:S26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37F07-A253-4E30-BF9A-F8BE7AA9874E}">
  <sheetPr codeName="Hoja2"/>
  <dimension ref="A1:AB23"/>
  <sheetViews>
    <sheetView topLeftCell="Q1" zoomScale="62" zoomScaleNormal="62" workbookViewId="0">
      <selection activeCell="AA3" sqref="AA3"/>
    </sheetView>
  </sheetViews>
  <sheetFormatPr baseColWidth="10" defaultRowHeight="15"/>
  <cols>
    <col min="10" max="10" width="57.140625" bestFit="1" customWidth="1"/>
    <col min="11" max="11" width="24" customWidth="1"/>
    <col min="12" max="12" width="15.7109375" customWidth="1"/>
    <col min="13" max="13" width="30.7109375" bestFit="1" customWidth="1"/>
    <col min="14" max="14" width="27.28515625" bestFit="1" customWidth="1"/>
    <col min="15" max="15" width="12.85546875" bestFit="1" customWidth="1"/>
    <col min="16" max="19" width="11.42578125" customWidth="1"/>
    <col min="21" max="22" width="11.42578125" customWidth="1"/>
    <col min="24" max="25" width="11.42578125" customWidth="1"/>
    <col min="26" max="26" width="15.5703125" customWidth="1"/>
    <col min="27" max="27" width="11.42578125" customWidth="1"/>
    <col min="28" max="28" width="13.28515625" bestFit="1" customWidth="1"/>
  </cols>
  <sheetData>
    <row r="1" spans="1:28" s="8" customFormat="1">
      <c r="H1" s="31"/>
      <c r="I1" s="31"/>
      <c r="J1" s="31"/>
      <c r="K1" s="31"/>
      <c r="L1" s="31"/>
      <c r="M1" s="31"/>
      <c r="N1" s="31"/>
      <c r="O1" s="31"/>
      <c r="R1" s="2"/>
      <c r="T1" s="9"/>
      <c r="W1" s="31"/>
      <c r="AA1" s="2"/>
      <c r="AB1" s="31"/>
    </row>
    <row r="2" spans="1:28" ht="60">
      <c r="A2" s="12" t="s">
        <v>0</v>
      </c>
      <c r="B2" s="12" t="s">
        <v>1</v>
      </c>
      <c r="C2" s="12" t="s">
        <v>2</v>
      </c>
      <c r="D2" s="12" t="s">
        <v>3</v>
      </c>
      <c r="E2" s="12" t="s">
        <v>4</v>
      </c>
      <c r="F2" s="12" t="s">
        <v>5</v>
      </c>
      <c r="G2" s="12" t="s">
        <v>6</v>
      </c>
      <c r="H2" s="12" t="s">
        <v>7</v>
      </c>
      <c r="I2" s="12" t="s">
        <v>8</v>
      </c>
      <c r="J2" s="12" t="s">
        <v>9</v>
      </c>
      <c r="K2" s="12" t="s">
        <v>10</v>
      </c>
      <c r="L2" s="12" t="s">
        <v>11</v>
      </c>
      <c r="M2" s="12" t="s">
        <v>12</v>
      </c>
      <c r="N2" s="11" t="s">
        <v>13</v>
      </c>
      <c r="O2" s="11" t="s">
        <v>14</v>
      </c>
      <c r="P2" s="12" t="s">
        <v>15</v>
      </c>
      <c r="Q2" s="13" t="s">
        <v>16</v>
      </c>
      <c r="R2" s="14" t="s">
        <v>17</v>
      </c>
      <c r="S2" s="11" t="s">
        <v>18</v>
      </c>
      <c r="T2" s="11" t="s">
        <v>19</v>
      </c>
      <c r="U2" s="11" t="s">
        <v>20</v>
      </c>
      <c r="V2" s="11" t="s">
        <v>21</v>
      </c>
      <c r="W2" s="32" t="s">
        <v>85</v>
      </c>
      <c r="X2" s="11" t="s">
        <v>22</v>
      </c>
      <c r="Y2" s="11" t="s">
        <v>23</v>
      </c>
      <c r="Z2" s="15" t="s">
        <v>24</v>
      </c>
      <c r="AA2" s="15" t="s">
        <v>25</v>
      </c>
      <c r="AB2" s="5" t="s">
        <v>26</v>
      </c>
    </row>
    <row r="3" spans="1:28">
      <c r="A3" s="24" t="s">
        <v>27</v>
      </c>
      <c r="B3" s="25">
        <v>1</v>
      </c>
      <c r="C3" s="19" t="s">
        <v>75</v>
      </c>
      <c r="D3" s="19" t="s">
        <v>75</v>
      </c>
      <c r="E3" s="29" t="s">
        <v>75</v>
      </c>
      <c r="F3" s="19" t="s">
        <v>76</v>
      </c>
      <c r="G3" s="19" t="s">
        <v>76</v>
      </c>
      <c r="H3" s="19" t="s">
        <v>28</v>
      </c>
      <c r="I3" s="19" t="s">
        <v>43</v>
      </c>
      <c r="J3" s="19" t="s">
        <v>30</v>
      </c>
      <c r="K3" s="16" t="s">
        <v>31</v>
      </c>
      <c r="L3" s="19" t="s">
        <v>32</v>
      </c>
      <c r="M3" s="34" t="s">
        <v>33</v>
      </c>
      <c r="N3" s="6" t="s">
        <v>34</v>
      </c>
      <c r="O3" s="33" t="s">
        <v>35</v>
      </c>
      <c r="P3" s="35">
        <v>43191</v>
      </c>
      <c r="Q3" s="36" t="s">
        <v>36</v>
      </c>
      <c r="R3" s="33">
        <v>30</v>
      </c>
      <c r="S3" s="19" t="s">
        <v>37</v>
      </c>
      <c r="T3" s="34" t="s">
        <v>38</v>
      </c>
      <c r="U3" s="34"/>
      <c r="V3" s="19"/>
      <c r="W3" s="38">
        <v>280</v>
      </c>
      <c r="X3" s="33" t="s">
        <v>39</v>
      </c>
      <c r="Y3" s="21" t="s">
        <v>35</v>
      </c>
      <c r="Z3" s="23" t="b">
        <v>1</v>
      </c>
      <c r="AA3" s="23">
        <v>1</v>
      </c>
      <c r="AB3" s="23">
        <v>1</v>
      </c>
    </row>
    <row r="4" spans="1:28">
      <c r="A4" s="24" t="s">
        <v>27</v>
      </c>
      <c r="B4" s="25">
        <v>2</v>
      </c>
      <c r="C4" s="19" t="s">
        <v>75</v>
      </c>
      <c r="D4" s="19" t="s">
        <v>75</v>
      </c>
      <c r="E4" s="29" t="s">
        <v>75</v>
      </c>
      <c r="F4" s="19" t="s">
        <v>76</v>
      </c>
      <c r="G4" s="19" t="s">
        <v>76</v>
      </c>
      <c r="H4" s="19" t="s">
        <v>28</v>
      </c>
      <c r="I4" s="19" t="s">
        <v>43</v>
      </c>
      <c r="J4" s="19" t="s">
        <v>30</v>
      </c>
      <c r="K4" s="16" t="s">
        <v>31</v>
      </c>
      <c r="L4" s="19" t="s">
        <v>32</v>
      </c>
      <c r="M4" s="34" t="s">
        <v>33</v>
      </c>
      <c r="N4" s="6" t="s">
        <v>34</v>
      </c>
      <c r="O4" s="33" t="s">
        <v>35</v>
      </c>
      <c r="P4" s="35">
        <v>43191</v>
      </c>
      <c r="Q4" s="36" t="s">
        <v>36</v>
      </c>
      <c r="R4" s="33">
        <v>30</v>
      </c>
      <c r="S4" s="19" t="s">
        <v>37</v>
      </c>
      <c r="T4" s="34" t="s">
        <v>38</v>
      </c>
      <c r="U4" s="34"/>
      <c r="V4" s="19"/>
      <c r="W4" s="38">
        <v>23629</v>
      </c>
      <c r="X4" s="33" t="s">
        <v>39</v>
      </c>
      <c r="Y4" s="21" t="s">
        <v>35</v>
      </c>
      <c r="Z4" s="23" t="b">
        <v>1</v>
      </c>
      <c r="AA4" s="23">
        <v>76</v>
      </c>
      <c r="AB4" s="23">
        <v>76</v>
      </c>
    </row>
    <row r="5" spans="1:28">
      <c r="A5" s="24" t="s">
        <v>27</v>
      </c>
      <c r="B5" s="25">
        <v>3</v>
      </c>
      <c r="C5" s="19" t="s">
        <v>75</v>
      </c>
      <c r="D5" s="19" t="s">
        <v>75</v>
      </c>
      <c r="E5" s="29" t="s">
        <v>75</v>
      </c>
      <c r="F5" s="19" t="s">
        <v>76</v>
      </c>
      <c r="G5" s="19" t="s">
        <v>76</v>
      </c>
      <c r="H5" s="19" t="s">
        <v>28</v>
      </c>
      <c r="I5" s="19" t="s">
        <v>43</v>
      </c>
      <c r="J5" s="19" t="s">
        <v>30</v>
      </c>
      <c r="K5" s="16" t="s">
        <v>41</v>
      </c>
      <c r="L5" s="19" t="s">
        <v>32</v>
      </c>
      <c r="M5" s="34" t="s">
        <v>33</v>
      </c>
      <c r="N5" s="6" t="s">
        <v>34</v>
      </c>
      <c r="O5" s="33" t="s">
        <v>35</v>
      </c>
      <c r="P5" s="35">
        <v>43191</v>
      </c>
      <c r="Q5" s="36" t="s">
        <v>36</v>
      </c>
      <c r="R5" s="33">
        <v>30</v>
      </c>
      <c r="S5" s="19" t="s">
        <v>37</v>
      </c>
      <c r="T5" s="34" t="s">
        <v>38</v>
      </c>
      <c r="U5" s="34"/>
      <c r="V5" s="19"/>
      <c r="W5" s="38">
        <v>23930</v>
      </c>
      <c r="X5" s="33" t="s">
        <v>39</v>
      </c>
      <c r="Y5" s="21" t="s">
        <v>35</v>
      </c>
      <c r="Z5" s="23" t="b">
        <v>1</v>
      </c>
      <c r="AA5" s="23">
        <v>77</v>
      </c>
      <c r="AB5" s="23">
        <v>77</v>
      </c>
    </row>
    <row r="6" spans="1:28">
      <c r="A6" s="24" t="s">
        <v>27</v>
      </c>
      <c r="B6" s="25">
        <v>4</v>
      </c>
      <c r="C6" s="19" t="s">
        <v>75</v>
      </c>
      <c r="D6" s="19" t="s">
        <v>75</v>
      </c>
      <c r="E6" s="29" t="s">
        <v>75</v>
      </c>
      <c r="F6" s="19" t="s">
        <v>76</v>
      </c>
      <c r="G6" s="19" t="s">
        <v>76</v>
      </c>
      <c r="H6" s="19" t="s">
        <v>28</v>
      </c>
      <c r="I6" s="19" t="s">
        <v>43</v>
      </c>
      <c r="J6" s="19" t="s">
        <v>30</v>
      </c>
      <c r="K6" s="16" t="s">
        <v>42</v>
      </c>
      <c r="L6" s="19" t="s">
        <v>32</v>
      </c>
      <c r="M6" s="34" t="s">
        <v>33</v>
      </c>
      <c r="N6" s="6" t="s">
        <v>34</v>
      </c>
      <c r="O6" s="33" t="s">
        <v>35</v>
      </c>
      <c r="P6" s="35">
        <v>43191</v>
      </c>
      <c r="Q6" s="36" t="s">
        <v>36</v>
      </c>
      <c r="R6" s="33">
        <v>30</v>
      </c>
      <c r="S6" s="19" t="s">
        <v>37</v>
      </c>
      <c r="T6" s="34" t="s">
        <v>38</v>
      </c>
      <c r="U6" s="34"/>
      <c r="V6" s="19"/>
      <c r="W6" s="38">
        <v>23630</v>
      </c>
      <c r="X6" s="33" t="s">
        <v>39</v>
      </c>
      <c r="Y6" s="21" t="s">
        <v>35</v>
      </c>
      <c r="Z6" s="23" t="b">
        <v>1</v>
      </c>
      <c r="AA6" s="23">
        <v>76</v>
      </c>
      <c r="AB6" s="23">
        <v>76</v>
      </c>
    </row>
    <row r="7" spans="1:28">
      <c r="A7" s="24" t="s">
        <v>27</v>
      </c>
      <c r="B7" s="25">
        <v>5</v>
      </c>
      <c r="C7" s="19" t="s">
        <v>75</v>
      </c>
      <c r="D7" s="19" t="s">
        <v>75</v>
      </c>
      <c r="E7" s="29" t="s">
        <v>75</v>
      </c>
      <c r="F7" s="19" t="s">
        <v>76</v>
      </c>
      <c r="G7" s="19" t="s">
        <v>76</v>
      </c>
      <c r="H7" s="19" t="s">
        <v>28</v>
      </c>
      <c r="I7" s="19" t="s">
        <v>44</v>
      </c>
      <c r="J7" s="19" t="s">
        <v>30</v>
      </c>
      <c r="K7" s="16" t="s">
        <v>41</v>
      </c>
      <c r="L7" s="19" t="s">
        <v>32</v>
      </c>
      <c r="M7" s="34" t="s">
        <v>33</v>
      </c>
      <c r="N7" s="6" t="s">
        <v>34</v>
      </c>
      <c r="O7" s="33" t="s">
        <v>35</v>
      </c>
      <c r="P7" s="35">
        <v>43191</v>
      </c>
      <c r="Q7" s="36" t="s">
        <v>36</v>
      </c>
      <c r="R7" s="33">
        <v>30</v>
      </c>
      <c r="S7" s="19" t="s">
        <v>37</v>
      </c>
      <c r="T7" s="34" t="s">
        <v>38</v>
      </c>
      <c r="U7" s="34"/>
      <c r="V7" s="19"/>
      <c r="W7" s="38">
        <v>23930</v>
      </c>
      <c r="X7" s="33" t="s">
        <v>39</v>
      </c>
      <c r="Y7" s="21" t="s">
        <v>35</v>
      </c>
      <c r="Z7" s="23" t="b">
        <v>1</v>
      </c>
      <c r="AA7" s="23">
        <v>77</v>
      </c>
      <c r="AB7" s="23">
        <v>77</v>
      </c>
    </row>
    <row r="8" spans="1:28">
      <c r="A8" s="24" t="s">
        <v>27</v>
      </c>
      <c r="B8" s="25">
        <v>6</v>
      </c>
      <c r="C8" s="19" t="s">
        <v>75</v>
      </c>
      <c r="D8" s="19" t="s">
        <v>75</v>
      </c>
      <c r="E8" s="29" t="s">
        <v>75</v>
      </c>
      <c r="F8" s="19" t="s">
        <v>76</v>
      </c>
      <c r="G8" s="19" t="s">
        <v>76</v>
      </c>
      <c r="H8" s="19" t="s">
        <v>28</v>
      </c>
      <c r="I8" s="10" t="s">
        <v>44</v>
      </c>
      <c r="J8" s="19" t="s">
        <v>30</v>
      </c>
      <c r="K8" s="16" t="s">
        <v>41</v>
      </c>
      <c r="L8" s="19" t="s">
        <v>32</v>
      </c>
      <c r="M8" s="34" t="s">
        <v>33</v>
      </c>
      <c r="N8" s="6" t="s">
        <v>34</v>
      </c>
      <c r="O8" s="33" t="s">
        <v>35</v>
      </c>
      <c r="P8" s="35">
        <v>43191</v>
      </c>
      <c r="Q8" s="36" t="s">
        <v>36</v>
      </c>
      <c r="R8" s="33">
        <v>30</v>
      </c>
      <c r="S8" s="19" t="s">
        <v>37</v>
      </c>
      <c r="T8" s="34" t="s">
        <v>38</v>
      </c>
      <c r="U8" s="34"/>
      <c r="V8" s="19"/>
      <c r="W8" s="38">
        <v>23930</v>
      </c>
      <c r="X8" s="33" t="s">
        <v>39</v>
      </c>
      <c r="Y8" s="21" t="s">
        <v>35</v>
      </c>
      <c r="Z8" s="23" t="b">
        <v>1</v>
      </c>
      <c r="AA8" s="23">
        <v>77</v>
      </c>
      <c r="AB8" s="23">
        <v>77</v>
      </c>
    </row>
    <row r="9" spans="1:28">
      <c r="A9" s="24" t="s">
        <v>27</v>
      </c>
      <c r="B9" s="25">
        <v>7</v>
      </c>
      <c r="C9" s="19" t="s">
        <v>75</v>
      </c>
      <c r="D9" s="19" t="s">
        <v>75</v>
      </c>
      <c r="E9" s="29" t="s">
        <v>75</v>
      </c>
      <c r="F9" s="19" t="s">
        <v>76</v>
      </c>
      <c r="G9" s="19" t="s">
        <v>76</v>
      </c>
      <c r="H9" s="19" t="s">
        <v>45</v>
      </c>
      <c r="I9" s="19" t="s">
        <v>44</v>
      </c>
      <c r="J9" s="20" t="s">
        <v>46</v>
      </c>
      <c r="K9" s="28" t="s">
        <v>47</v>
      </c>
      <c r="L9" s="19" t="s">
        <v>48</v>
      </c>
      <c r="M9" s="34" t="s">
        <v>49</v>
      </c>
      <c r="N9" s="33" t="s">
        <v>49</v>
      </c>
      <c r="O9" s="33" t="s">
        <v>35</v>
      </c>
      <c r="P9" s="35">
        <v>43191</v>
      </c>
      <c r="Q9" s="36" t="s">
        <v>50</v>
      </c>
      <c r="R9" s="33">
        <v>10</v>
      </c>
      <c r="S9" s="19" t="s">
        <v>37</v>
      </c>
      <c r="T9" s="34" t="s">
        <v>51</v>
      </c>
      <c r="U9" s="34" t="s">
        <v>52</v>
      </c>
      <c r="V9" s="30"/>
      <c r="W9" s="37">
        <v>124003.75</v>
      </c>
      <c r="X9" s="34" t="s">
        <v>53</v>
      </c>
      <c r="Y9" s="21" t="s">
        <v>35</v>
      </c>
      <c r="Z9" s="23" t="b">
        <v>1</v>
      </c>
      <c r="AA9" s="23">
        <v>42</v>
      </c>
      <c r="AB9" s="23">
        <v>14</v>
      </c>
    </row>
    <row r="10" spans="1:28">
      <c r="A10" s="24" t="s">
        <v>27</v>
      </c>
      <c r="B10" s="25">
        <v>8</v>
      </c>
      <c r="C10" s="19" t="s">
        <v>75</v>
      </c>
      <c r="D10" s="19" t="s">
        <v>75</v>
      </c>
      <c r="E10" s="29" t="s">
        <v>75</v>
      </c>
      <c r="F10" s="19" t="s">
        <v>76</v>
      </c>
      <c r="G10" s="19" t="s">
        <v>76</v>
      </c>
      <c r="H10" s="19" t="s">
        <v>45</v>
      </c>
      <c r="I10" s="19" t="s">
        <v>44</v>
      </c>
      <c r="J10" s="20" t="s">
        <v>46</v>
      </c>
      <c r="K10" s="28" t="s">
        <v>54</v>
      </c>
      <c r="L10" s="19" t="s">
        <v>48</v>
      </c>
      <c r="M10" s="34" t="s">
        <v>49</v>
      </c>
      <c r="N10" s="33" t="s">
        <v>49</v>
      </c>
      <c r="O10" s="33" t="s">
        <v>35</v>
      </c>
      <c r="P10" s="35">
        <v>43191</v>
      </c>
      <c r="Q10" s="36" t="s">
        <v>55</v>
      </c>
      <c r="R10" s="33">
        <v>30</v>
      </c>
      <c r="S10" s="19" t="s">
        <v>37</v>
      </c>
      <c r="T10" s="34" t="s">
        <v>51</v>
      </c>
      <c r="U10" s="34" t="s">
        <v>52</v>
      </c>
      <c r="V10" s="30"/>
      <c r="W10" s="37">
        <v>85500</v>
      </c>
      <c r="X10" s="34" t="s">
        <v>53</v>
      </c>
      <c r="Y10" s="21" t="s">
        <v>35</v>
      </c>
      <c r="Z10" s="23" t="b">
        <v>1</v>
      </c>
      <c r="AA10" s="23">
        <v>5</v>
      </c>
      <c r="AB10" s="23">
        <v>5</v>
      </c>
    </row>
    <row r="11" spans="1:28">
      <c r="A11" s="24" t="s">
        <v>27</v>
      </c>
      <c r="B11" s="25">
        <v>9</v>
      </c>
      <c r="C11" s="19" t="s">
        <v>75</v>
      </c>
      <c r="D11" s="19" t="s">
        <v>75</v>
      </c>
      <c r="E11" s="29" t="s">
        <v>75</v>
      </c>
      <c r="F11" s="19" t="s">
        <v>76</v>
      </c>
      <c r="G11" s="19" t="s">
        <v>76</v>
      </c>
      <c r="H11" s="19" t="s">
        <v>45</v>
      </c>
      <c r="I11" s="19" t="s">
        <v>43</v>
      </c>
      <c r="J11" s="20" t="s">
        <v>46</v>
      </c>
      <c r="K11" s="28" t="s">
        <v>54</v>
      </c>
      <c r="L11" s="19" t="s">
        <v>48</v>
      </c>
      <c r="M11" s="34" t="s">
        <v>49</v>
      </c>
      <c r="N11" s="33" t="s">
        <v>49</v>
      </c>
      <c r="O11" s="33" t="s">
        <v>35</v>
      </c>
      <c r="P11" s="35">
        <v>43191</v>
      </c>
      <c r="Q11" s="36" t="s">
        <v>50</v>
      </c>
      <c r="R11" s="33">
        <v>10</v>
      </c>
      <c r="S11" s="19" t="s">
        <v>37</v>
      </c>
      <c r="T11" s="34" t="s">
        <v>51</v>
      </c>
      <c r="U11" s="34" t="s">
        <v>52</v>
      </c>
      <c r="V11" s="30"/>
      <c r="W11" s="37">
        <v>207793.75</v>
      </c>
      <c r="X11" s="34" t="s">
        <v>53</v>
      </c>
      <c r="Y11" s="21" t="s">
        <v>35</v>
      </c>
      <c r="Z11" s="23" t="b">
        <v>1</v>
      </c>
      <c r="AA11" s="23">
        <v>42</v>
      </c>
      <c r="AB11" s="23">
        <v>14</v>
      </c>
    </row>
    <row r="12" spans="1:28">
      <c r="A12" s="24" t="s">
        <v>27</v>
      </c>
      <c r="B12" s="25">
        <v>10</v>
      </c>
      <c r="C12" s="19" t="s">
        <v>75</v>
      </c>
      <c r="D12" s="19" t="s">
        <v>75</v>
      </c>
      <c r="E12" s="29" t="s">
        <v>75</v>
      </c>
      <c r="F12" s="19" t="s">
        <v>76</v>
      </c>
      <c r="G12" s="19" t="s">
        <v>76</v>
      </c>
      <c r="H12" s="19" t="s">
        <v>45</v>
      </c>
      <c r="I12" s="19" t="s">
        <v>43</v>
      </c>
      <c r="J12" s="19" t="s">
        <v>56</v>
      </c>
      <c r="K12" s="39" t="s">
        <v>57</v>
      </c>
      <c r="L12" s="19" t="s">
        <v>48</v>
      </c>
      <c r="M12" s="34" t="s">
        <v>58</v>
      </c>
      <c r="N12" s="6" t="s">
        <v>59</v>
      </c>
      <c r="O12" s="33" t="s">
        <v>35</v>
      </c>
      <c r="P12" s="35">
        <v>43191</v>
      </c>
      <c r="Q12" s="36" t="s">
        <v>36</v>
      </c>
      <c r="R12" s="33">
        <v>30</v>
      </c>
      <c r="S12" s="19" t="s">
        <v>37</v>
      </c>
      <c r="T12" s="34" t="s">
        <v>38</v>
      </c>
      <c r="U12" s="34"/>
      <c r="V12" s="19"/>
      <c r="W12" s="38">
        <v>0</v>
      </c>
      <c r="X12" s="33" t="s">
        <v>39</v>
      </c>
      <c r="Y12" s="21" t="s">
        <v>35</v>
      </c>
      <c r="Z12" s="23" t="b">
        <v>1</v>
      </c>
      <c r="AA12" s="23">
        <v>44</v>
      </c>
      <c r="AB12" s="23">
        <v>44</v>
      </c>
    </row>
    <row r="13" spans="1:28">
      <c r="A13" s="24" t="s">
        <v>27</v>
      </c>
      <c r="B13" s="25">
        <v>11</v>
      </c>
      <c r="C13" s="19" t="s">
        <v>75</v>
      </c>
      <c r="D13" s="19" t="s">
        <v>75</v>
      </c>
      <c r="E13" s="29" t="s">
        <v>75</v>
      </c>
      <c r="F13" s="19" t="s">
        <v>76</v>
      </c>
      <c r="G13" s="19" t="s">
        <v>76</v>
      </c>
      <c r="H13" s="19" t="s">
        <v>45</v>
      </c>
      <c r="I13" s="19" t="s">
        <v>43</v>
      </c>
      <c r="J13" s="19" t="s">
        <v>56</v>
      </c>
      <c r="K13" s="39" t="s">
        <v>42</v>
      </c>
      <c r="L13" s="19" t="s">
        <v>48</v>
      </c>
      <c r="M13" s="34" t="s">
        <v>58</v>
      </c>
      <c r="N13" s="6" t="s">
        <v>59</v>
      </c>
      <c r="O13" s="33" t="s">
        <v>35</v>
      </c>
      <c r="P13" s="35">
        <v>43191</v>
      </c>
      <c r="Q13" s="36" t="s">
        <v>36</v>
      </c>
      <c r="R13" s="33">
        <v>30</v>
      </c>
      <c r="S13" s="19" t="s">
        <v>37</v>
      </c>
      <c r="T13" s="34" t="s">
        <v>38</v>
      </c>
      <c r="U13" s="34"/>
      <c r="V13" s="19"/>
      <c r="W13" s="38">
        <v>643999.07999999996</v>
      </c>
      <c r="X13" s="33" t="s">
        <v>39</v>
      </c>
      <c r="Y13" s="21" t="s">
        <v>35</v>
      </c>
      <c r="Z13" s="23" t="b">
        <v>1</v>
      </c>
      <c r="AA13" s="23">
        <v>90</v>
      </c>
      <c r="AB13" s="23">
        <v>90</v>
      </c>
    </row>
    <row r="14" spans="1:28">
      <c r="A14" s="24" t="s">
        <v>27</v>
      </c>
      <c r="B14" s="25">
        <v>12</v>
      </c>
      <c r="C14" s="19" t="s">
        <v>75</v>
      </c>
      <c r="D14" s="19" t="s">
        <v>75</v>
      </c>
      <c r="E14" s="29" t="s">
        <v>75</v>
      </c>
      <c r="F14" s="19" t="s">
        <v>76</v>
      </c>
      <c r="G14" s="19" t="s">
        <v>76</v>
      </c>
      <c r="H14" s="19" t="s">
        <v>45</v>
      </c>
      <c r="I14" s="19" t="s">
        <v>43</v>
      </c>
      <c r="J14" s="19" t="s">
        <v>56</v>
      </c>
      <c r="K14" s="39" t="s">
        <v>42</v>
      </c>
      <c r="L14" s="19" t="s">
        <v>48</v>
      </c>
      <c r="M14" s="34" t="s">
        <v>58</v>
      </c>
      <c r="N14" s="6" t="s">
        <v>59</v>
      </c>
      <c r="O14" s="33" t="s">
        <v>35</v>
      </c>
      <c r="P14" s="35">
        <v>43191</v>
      </c>
      <c r="Q14" s="36" t="s">
        <v>36</v>
      </c>
      <c r="R14" s="33">
        <v>30</v>
      </c>
      <c r="S14" s="19" t="s">
        <v>37</v>
      </c>
      <c r="T14" s="34" t="s">
        <v>38</v>
      </c>
      <c r="U14" s="34"/>
      <c r="V14" s="19"/>
      <c r="W14" s="38">
        <v>0</v>
      </c>
      <c r="X14" s="33" t="s">
        <v>39</v>
      </c>
      <c r="Y14" s="21" t="s">
        <v>35</v>
      </c>
      <c r="Z14" s="23" t="b">
        <v>1</v>
      </c>
      <c r="AA14" s="23">
        <v>25</v>
      </c>
      <c r="AB14" s="23">
        <v>25</v>
      </c>
    </row>
    <row r="15" spans="1:28">
      <c r="A15" s="24" t="s">
        <v>27</v>
      </c>
      <c r="B15" s="25">
        <v>13</v>
      </c>
      <c r="C15" s="19" t="s">
        <v>75</v>
      </c>
      <c r="D15" s="19" t="s">
        <v>75</v>
      </c>
      <c r="E15" s="29" t="s">
        <v>75</v>
      </c>
      <c r="F15" s="19" t="s">
        <v>76</v>
      </c>
      <c r="G15" s="19" t="s">
        <v>76</v>
      </c>
      <c r="H15" s="19" t="s">
        <v>45</v>
      </c>
      <c r="I15" s="19" t="s">
        <v>44</v>
      </c>
      <c r="J15" s="20" t="s">
        <v>46</v>
      </c>
      <c r="K15" s="3" t="s">
        <v>60</v>
      </c>
      <c r="L15" s="19" t="s">
        <v>48</v>
      </c>
      <c r="M15" s="34" t="s">
        <v>49</v>
      </c>
      <c r="N15" s="33" t="s">
        <v>49</v>
      </c>
      <c r="O15" s="33" t="s">
        <v>35</v>
      </c>
      <c r="P15" s="35">
        <v>43191</v>
      </c>
      <c r="Q15" s="36" t="s">
        <v>61</v>
      </c>
      <c r="R15" s="33">
        <v>30</v>
      </c>
      <c r="S15" s="19" t="s">
        <v>37</v>
      </c>
      <c r="T15" s="34" t="s">
        <v>51</v>
      </c>
      <c r="U15" s="34" t="s">
        <v>52</v>
      </c>
      <c r="V15" s="30"/>
      <c r="W15" s="37">
        <v>10513.75</v>
      </c>
      <c r="X15" s="34" t="s">
        <v>53</v>
      </c>
      <c r="Y15" s="21" t="s">
        <v>35</v>
      </c>
      <c r="Z15" s="23" t="b">
        <v>1</v>
      </c>
      <c r="AA15" s="23">
        <v>1</v>
      </c>
      <c r="AB15" s="23">
        <v>1</v>
      </c>
    </row>
    <row r="16" spans="1:28">
      <c r="A16" s="24" t="s">
        <v>27</v>
      </c>
      <c r="B16" s="25">
        <v>14</v>
      </c>
      <c r="C16" s="19" t="s">
        <v>75</v>
      </c>
      <c r="D16" s="19" t="s">
        <v>75</v>
      </c>
      <c r="E16" s="29" t="s">
        <v>75</v>
      </c>
      <c r="F16" s="19" t="s">
        <v>76</v>
      </c>
      <c r="G16" s="19" t="s">
        <v>76</v>
      </c>
      <c r="H16" s="19" t="s">
        <v>45</v>
      </c>
      <c r="I16" s="19" t="s">
        <v>44</v>
      </c>
      <c r="J16" s="19" t="s">
        <v>56</v>
      </c>
      <c r="K16" s="28" t="s">
        <v>62</v>
      </c>
      <c r="L16" s="19" t="s">
        <v>48</v>
      </c>
      <c r="M16" s="34" t="s">
        <v>58</v>
      </c>
      <c r="N16" s="6" t="s">
        <v>59</v>
      </c>
      <c r="O16" s="33" t="s">
        <v>35</v>
      </c>
      <c r="P16" s="35">
        <v>43191</v>
      </c>
      <c r="Q16" s="36" t="s">
        <v>36</v>
      </c>
      <c r="R16" s="33">
        <v>30</v>
      </c>
      <c r="S16" s="19" t="s">
        <v>37</v>
      </c>
      <c r="T16" s="34" t="s">
        <v>38</v>
      </c>
      <c r="U16" s="34"/>
      <c r="V16" s="19"/>
      <c r="W16" s="38">
        <v>1350000</v>
      </c>
      <c r="X16" s="33" t="s">
        <v>39</v>
      </c>
      <c r="Y16" s="21" t="s">
        <v>35</v>
      </c>
      <c r="Z16" s="23" t="b">
        <v>1</v>
      </c>
      <c r="AA16" s="23">
        <v>90</v>
      </c>
      <c r="AB16" s="23">
        <v>90</v>
      </c>
    </row>
    <row r="17" spans="1:28">
      <c r="A17" s="24" t="s">
        <v>27</v>
      </c>
      <c r="B17" s="25">
        <v>15</v>
      </c>
      <c r="C17" s="19" t="s">
        <v>75</v>
      </c>
      <c r="D17" s="19" t="s">
        <v>75</v>
      </c>
      <c r="E17" s="29" t="s">
        <v>75</v>
      </c>
      <c r="F17" s="19" t="s">
        <v>76</v>
      </c>
      <c r="G17" s="19" t="s">
        <v>76</v>
      </c>
      <c r="H17" s="19" t="s">
        <v>45</v>
      </c>
      <c r="I17" s="19" t="s">
        <v>44</v>
      </c>
      <c r="J17" s="20" t="s">
        <v>46</v>
      </c>
      <c r="K17" s="28" t="s">
        <v>60</v>
      </c>
      <c r="L17" s="19" t="s">
        <v>48</v>
      </c>
      <c r="M17" s="34" t="s">
        <v>63</v>
      </c>
      <c r="N17" s="33" t="s">
        <v>64</v>
      </c>
      <c r="O17" s="33" t="s">
        <v>65</v>
      </c>
      <c r="P17" s="35">
        <v>43191</v>
      </c>
      <c r="Q17" s="36" t="s">
        <v>66</v>
      </c>
      <c r="R17" s="33">
        <v>10</v>
      </c>
      <c r="S17" s="19" t="s">
        <v>37</v>
      </c>
      <c r="T17" s="34" t="s">
        <v>51</v>
      </c>
      <c r="U17" s="34" t="s">
        <v>52</v>
      </c>
      <c r="V17" s="19"/>
      <c r="W17" s="37">
        <v>17200</v>
      </c>
      <c r="X17" s="34" t="s">
        <v>53</v>
      </c>
      <c r="Y17" s="19" t="s">
        <v>65</v>
      </c>
      <c r="Z17" s="23" t="b">
        <v>1</v>
      </c>
      <c r="AA17" s="23">
        <v>1</v>
      </c>
      <c r="AB17" s="23">
        <v>0.33333333333333331</v>
      </c>
    </row>
    <row r="18" spans="1:28">
      <c r="A18" s="24" t="s">
        <v>27</v>
      </c>
      <c r="B18" s="25">
        <v>16</v>
      </c>
      <c r="C18" s="19" t="s">
        <v>75</v>
      </c>
      <c r="D18" s="19" t="s">
        <v>75</v>
      </c>
      <c r="E18" s="29" t="s">
        <v>75</v>
      </c>
      <c r="F18" s="19" t="s">
        <v>76</v>
      </c>
      <c r="G18" s="19" t="s">
        <v>76</v>
      </c>
      <c r="H18" s="19" t="s">
        <v>45</v>
      </c>
      <c r="I18" s="19" t="s">
        <v>44</v>
      </c>
      <c r="J18" s="20" t="s">
        <v>46</v>
      </c>
      <c r="K18" s="28" t="s">
        <v>60</v>
      </c>
      <c r="L18" s="19" t="s">
        <v>48</v>
      </c>
      <c r="M18" s="34" t="s">
        <v>63</v>
      </c>
      <c r="N18" s="33" t="s">
        <v>64</v>
      </c>
      <c r="O18" s="33" t="s">
        <v>65</v>
      </c>
      <c r="P18" s="35">
        <v>43191</v>
      </c>
      <c r="Q18" s="36" t="s">
        <v>66</v>
      </c>
      <c r="R18" s="33">
        <v>10</v>
      </c>
      <c r="S18" s="19" t="s">
        <v>37</v>
      </c>
      <c r="T18" s="34" t="s">
        <v>51</v>
      </c>
      <c r="U18" s="34" t="s">
        <v>52</v>
      </c>
      <c r="V18" s="19"/>
      <c r="W18" s="37">
        <v>17500</v>
      </c>
      <c r="X18" s="34" t="s">
        <v>53</v>
      </c>
      <c r="Y18" s="19" t="s">
        <v>65</v>
      </c>
      <c r="Z18" s="23" t="b">
        <v>1</v>
      </c>
      <c r="AA18" s="23">
        <v>1</v>
      </c>
      <c r="AB18" s="23">
        <v>0.33333333333333331</v>
      </c>
    </row>
    <row r="19" spans="1:28">
      <c r="A19" s="24" t="s">
        <v>27</v>
      </c>
      <c r="B19" s="25">
        <v>17</v>
      </c>
      <c r="C19" s="19" t="s">
        <v>75</v>
      </c>
      <c r="D19" s="19" t="s">
        <v>75</v>
      </c>
      <c r="E19" s="29" t="s">
        <v>75</v>
      </c>
      <c r="F19" s="19" t="s">
        <v>76</v>
      </c>
      <c r="G19" s="19" t="s">
        <v>76</v>
      </c>
      <c r="H19" s="19" t="s">
        <v>45</v>
      </c>
      <c r="I19" s="19" t="s">
        <v>44</v>
      </c>
      <c r="J19" s="19" t="s">
        <v>56</v>
      </c>
      <c r="K19" s="28" t="s">
        <v>67</v>
      </c>
      <c r="L19" s="19" t="s">
        <v>48</v>
      </c>
      <c r="M19" s="34" t="s">
        <v>63</v>
      </c>
      <c r="N19" s="33" t="s">
        <v>64</v>
      </c>
      <c r="O19" s="33" t="s">
        <v>35</v>
      </c>
      <c r="P19" s="35">
        <v>43191</v>
      </c>
      <c r="Q19" s="36" t="s">
        <v>68</v>
      </c>
      <c r="R19" s="33">
        <v>60</v>
      </c>
      <c r="S19" s="19" t="s">
        <v>37</v>
      </c>
      <c r="T19" s="34" t="s">
        <v>51</v>
      </c>
      <c r="U19" s="34" t="s">
        <v>52</v>
      </c>
      <c r="V19" s="19"/>
      <c r="W19" s="37">
        <v>30000</v>
      </c>
      <c r="X19" s="34" t="s">
        <v>53</v>
      </c>
      <c r="Y19" s="21" t="s">
        <v>35</v>
      </c>
      <c r="Z19" s="23" t="b">
        <v>1</v>
      </c>
      <c r="AA19" s="23">
        <v>2</v>
      </c>
      <c r="AB19" s="23">
        <v>4</v>
      </c>
    </row>
    <row r="20" spans="1:28">
      <c r="A20" s="24" t="s">
        <v>27</v>
      </c>
      <c r="B20" s="25">
        <v>18</v>
      </c>
      <c r="C20" s="19" t="s">
        <v>75</v>
      </c>
      <c r="D20" s="19" t="s">
        <v>75</v>
      </c>
      <c r="E20" s="29" t="s">
        <v>75</v>
      </c>
      <c r="F20" s="19" t="s">
        <v>76</v>
      </c>
      <c r="G20" s="19" t="s">
        <v>76</v>
      </c>
      <c r="H20" s="19" t="s">
        <v>45</v>
      </c>
      <c r="I20" s="19" t="s">
        <v>44</v>
      </c>
      <c r="J20" s="19" t="s">
        <v>56</v>
      </c>
      <c r="K20" s="28" t="s">
        <v>67</v>
      </c>
      <c r="L20" s="19" t="s">
        <v>48</v>
      </c>
      <c r="M20" s="34" t="s">
        <v>63</v>
      </c>
      <c r="N20" s="33" t="s">
        <v>64</v>
      </c>
      <c r="O20" s="33" t="s">
        <v>35</v>
      </c>
      <c r="P20" s="35">
        <v>43191</v>
      </c>
      <c r="Q20" s="36" t="s">
        <v>36</v>
      </c>
      <c r="R20" s="33">
        <v>60</v>
      </c>
      <c r="S20" s="19" t="s">
        <v>37</v>
      </c>
      <c r="T20" s="34" t="s">
        <v>51</v>
      </c>
      <c r="U20" s="34" t="s">
        <v>52</v>
      </c>
      <c r="V20" s="19"/>
      <c r="W20" s="37">
        <v>320000</v>
      </c>
      <c r="X20" s="34" t="s">
        <v>53</v>
      </c>
      <c r="Y20" s="21" t="s">
        <v>35</v>
      </c>
      <c r="Z20" s="23" t="b">
        <v>1</v>
      </c>
      <c r="AA20" s="23">
        <v>16</v>
      </c>
      <c r="AB20" s="23">
        <v>32</v>
      </c>
    </row>
    <row r="21" spans="1:28">
      <c r="A21" s="24" t="s">
        <v>27</v>
      </c>
      <c r="B21" s="25">
        <v>19</v>
      </c>
      <c r="C21" s="19" t="s">
        <v>75</v>
      </c>
      <c r="D21" s="19" t="s">
        <v>75</v>
      </c>
      <c r="E21" s="29" t="s">
        <v>75</v>
      </c>
      <c r="F21" s="19" t="s">
        <v>76</v>
      </c>
      <c r="G21" s="19" t="s">
        <v>76</v>
      </c>
      <c r="H21" s="19" t="s">
        <v>45</v>
      </c>
      <c r="I21" s="19" t="s">
        <v>44</v>
      </c>
      <c r="J21" s="19" t="s">
        <v>56</v>
      </c>
      <c r="K21" s="28" t="s">
        <v>67</v>
      </c>
      <c r="L21" s="19" t="s">
        <v>48</v>
      </c>
      <c r="M21" s="34" t="s">
        <v>63</v>
      </c>
      <c r="N21" s="33" t="s">
        <v>64</v>
      </c>
      <c r="O21" s="33" t="s">
        <v>65</v>
      </c>
      <c r="P21" s="35">
        <v>43191</v>
      </c>
      <c r="Q21" s="36" t="s">
        <v>69</v>
      </c>
      <c r="R21" s="33">
        <v>60</v>
      </c>
      <c r="S21" s="19" t="s">
        <v>37</v>
      </c>
      <c r="T21" s="34" t="s">
        <v>51</v>
      </c>
      <c r="U21" s="34" t="s">
        <v>70</v>
      </c>
      <c r="V21" s="19"/>
      <c r="W21" s="37">
        <v>60000</v>
      </c>
      <c r="X21" s="34" t="s">
        <v>53</v>
      </c>
      <c r="Y21" s="19" t="s">
        <v>65</v>
      </c>
      <c r="Z21" s="23" t="b">
        <v>1</v>
      </c>
      <c r="AA21" s="23">
        <v>4</v>
      </c>
      <c r="AB21" s="23">
        <v>8</v>
      </c>
    </row>
    <row r="22" spans="1:28">
      <c r="A22" s="24" t="s">
        <v>27</v>
      </c>
      <c r="B22" s="25">
        <v>20</v>
      </c>
      <c r="C22" s="19" t="s">
        <v>75</v>
      </c>
      <c r="D22" s="19" t="s">
        <v>75</v>
      </c>
      <c r="E22" s="29" t="s">
        <v>75</v>
      </c>
      <c r="F22" s="19" t="s">
        <v>76</v>
      </c>
      <c r="G22" s="19" t="s">
        <v>76</v>
      </c>
      <c r="H22" s="19" t="s">
        <v>45</v>
      </c>
      <c r="I22" s="19" t="s">
        <v>44</v>
      </c>
      <c r="J22" s="20" t="s">
        <v>46</v>
      </c>
      <c r="K22" s="3" t="s">
        <v>60</v>
      </c>
      <c r="L22" s="19" t="s">
        <v>48</v>
      </c>
      <c r="M22" s="34" t="s">
        <v>49</v>
      </c>
      <c r="N22" s="33" t="s">
        <v>49</v>
      </c>
      <c r="O22" s="33" t="s">
        <v>35</v>
      </c>
      <c r="P22" s="35">
        <v>43191</v>
      </c>
      <c r="Q22" s="36" t="s">
        <v>55</v>
      </c>
      <c r="R22" s="33">
        <v>30</v>
      </c>
      <c r="S22" s="19" t="s">
        <v>37</v>
      </c>
      <c r="T22" s="34" t="s">
        <v>51</v>
      </c>
      <c r="U22" s="34" t="s">
        <v>52</v>
      </c>
      <c r="V22" s="30"/>
      <c r="W22" s="37">
        <v>85500</v>
      </c>
      <c r="X22" s="34" t="s">
        <v>53</v>
      </c>
      <c r="Y22" s="21" t="s">
        <v>35</v>
      </c>
      <c r="Z22" s="23" t="b">
        <v>1</v>
      </c>
      <c r="AA22" s="23">
        <v>5</v>
      </c>
      <c r="AB22" s="23">
        <v>5</v>
      </c>
    </row>
    <row r="23" spans="1:28">
      <c r="A23" s="24" t="s">
        <v>27</v>
      </c>
      <c r="B23" s="25">
        <v>21</v>
      </c>
      <c r="C23" s="19" t="s">
        <v>75</v>
      </c>
      <c r="D23" s="19" t="s">
        <v>75</v>
      </c>
      <c r="E23" s="29" t="s">
        <v>75</v>
      </c>
      <c r="F23" s="19" t="s">
        <v>76</v>
      </c>
      <c r="G23" s="19" t="s">
        <v>76</v>
      </c>
      <c r="H23" s="19" t="s">
        <v>45</v>
      </c>
      <c r="I23" s="19" t="s">
        <v>43</v>
      </c>
      <c r="J23" s="19" t="s">
        <v>56</v>
      </c>
      <c r="K23" s="28" t="s">
        <v>67</v>
      </c>
      <c r="L23" s="19" t="s">
        <v>48</v>
      </c>
      <c r="M23" s="33" t="s">
        <v>71</v>
      </c>
      <c r="N23" s="33" t="s">
        <v>72</v>
      </c>
      <c r="O23" s="33" t="s">
        <v>35</v>
      </c>
      <c r="P23" s="35">
        <v>43191</v>
      </c>
      <c r="Q23" s="36" t="s">
        <v>40</v>
      </c>
      <c r="R23" s="33" t="s">
        <v>40</v>
      </c>
      <c r="S23" s="19" t="s">
        <v>37</v>
      </c>
      <c r="T23" s="34" t="s">
        <v>51</v>
      </c>
      <c r="U23" s="34" t="s">
        <v>73</v>
      </c>
      <c r="V23" s="22" t="s">
        <v>74</v>
      </c>
      <c r="W23" s="37">
        <v>60000</v>
      </c>
      <c r="X23" s="34" t="s">
        <v>53</v>
      </c>
      <c r="Y23" s="21" t="s">
        <v>35</v>
      </c>
      <c r="Z23" s="23" t="b">
        <v>1</v>
      </c>
      <c r="AA23" s="23">
        <v>2</v>
      </c>
      <c r="AB23" s="23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Actual</vt:lpstr>
      <vt:lpstr>Anterior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Edith Gomez</dc:creator>
  <cp:lastModifiedBy>Daniela Quintana</cp:lastModifiedBy>
  <dcterms:created xsi:type="dcterms:W3CDTF">2018-10-26T17:18:13Z</dcterms:created>
  <dcterms:modified xsi:type="dcterms:W3CDTF">2018-10-31T05:44:54Z</dcterms:modified>
</cp:coreProperties>
</file>